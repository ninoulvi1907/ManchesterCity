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6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7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8.xml" ContentType="application/vnd.openxmlformats-officedocument.spreadsheetml.pivot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10.xml" ContentType="application/vnd.openxmlformats-officedocument.spreadsheetml.pivot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eul\OneDrive\Desktop\Data Analysis\"/>
    </mc:Choice>
  </mc:AlternateContent>
  <xr:revisionPtr revIDLastSave="0" documentId="13_ncr:1_{AA57CEA7-1DEB-4E52-A086-BE52A0783E5B}" xr6:coauthVersionLast="47" xr6:coauthVersionMax="47" xr10:uidLastSave="{00000000-0000-0000-0000-000000000000}"/>
  <bookViews>
    <workbookView xWindow="-120" yWindow="-120" windowWidth="20730" windowHeight="11040" firstSheet="3" activeTab="5" xr2:uid="{490EF1AB-19C0-4A38-A2B4-835B6F2A94E0}"/>
  </bookViews>
  <sheets>
    <sheet name="24-25 City standart stats" sheetId="2" r:id="rId1"/>
    <sheet name="23-24 City standart stats" sheetId="3" r:id="rId2"/>
    <sheet name="Standart stats Pivot 24-25 " sheetId="17" r:id="rId3"/>
    <sheet name="Standart stats Pivot 23-24" sheetId="19" r:id="rId4"/>
    <sheet name="COMPARE" sheetId="20" r:id="rId5"/>
    <sheet name="Compare Chart" sheetId="21" r:id="rId6"/>
    <sheet name="Passes Pivot 24-25" sheetId="22" r:id="rId7"/>
    <sheet name="Passes Pivot 23-24" sheetId="23" r:id="rId8"/>
    <sheet name="24-25 Passes" sheetId="4" r:id="rId9"/>
    <sheet name="23-24 Passes" sheetId="6" r:id="rId10"/>
    <sheet name="Shoots Pivot 24-25" sheetId="24" r:id="rId11"/>
    <sheet name="24-25 Shooting" sheetId="8" r:id="rId12"/>
    <sheet name="Shoots Pivot 23-24" sheetId="25" r:id="rId13"/>
    <sheet name="23-24 Shooting" sheetId="9" r:id="rId14"/>
    <sheet name="Defence Pivot 24-25" sheetId="26" r:id="rId15"/>
    <sheet name="24-25 Defence" sheetId="10" r:id="rId16"/>
    <sheet name="Defence Pivot 23-24" sheetId="29" r:id="rId17"/>
    <sheet name="23-24 Defence" sheetId="11" r:id="rId18"/>
    <sheet name="Goalkeeping Pivot 24-25" sheetId="31" r:id="rId19"/>
    <sheet name="24-25 Goalkeeping" sheetId="12" r:id="rId20"/>
    <sheet name="Goalkeeping Pivot 23-24" sheetId="33" r:id="rId21"/>
    <sheet name="23-24 Goalkeeping" sheetId="13" r:id="rId22"/>
    <sheet name="24-25 Possession" sheetId="14" r:id="rId23"/>
    <sheet name="23-24 Possession" sheetId="15" r:id="rId24"/>
  </sheets>
  <definedNames>
    <definedName name="ExternalData_1" localSheetId="1" hidden="1">'23-24 City standart stats'!$A$1:$AB$35</definedName>
    <definedName name="ExternalData_1" localSheetId="17" hidden="1">'23-24 Defence'!$A$1:$O$30</definedName>
    <definedName name="ExternalData_1" localSheetId="21" hidden="1">'23-24 Goalkeeping'!$A$1:$P$7</definedName>
    <definedName name="ExternalData_1" localSheetId="9" hidden="1">'23-24 Passes'!$A$1:$S$30</definedName>
    <definedName name="ExternalData_1" localSheetId="23" hidden="1">'23-24 Possession'!$A$1:$AB$30</definedName>
    <definedName name="ExternalData_1" localSheetId="13" hidden="1">'23-24 Shooting'!$A$1:$K$30</definedName>
    <definedName name="ExternalData_1" localSheetId="0" hidden="1">'24-25 City standart stats'!$A$1:$AB$38</definedName>
    <definedName name="ExternalData_1" localSheetId="15" hidden="1">'24-25 Defence'!$A$1:$O$31</definedName>
    <definedName name="ExternalData_1" localSheetId="19" hidden="1">'24-25 Goalkeeping'!$A$1:$P$7</definedName>
    <definedName name="ExternalData_1" localSheetId="8" hidden="1">'24-25 Passes'!$A$1:$S$31</definedName>
    <definedName name="ExternalData_1" localSheetId="22" hidden="1">'24-25 Possession'!$A$1:$AB$31</definedName>
    <definedName name="ExternalData_1" localSheetId="11" hidden="1">'24-25 Shooting'!$A$1:$K$31</definedName>
  </definedNames>
  <calcPr calcId="191029"/>
  <pivotCaches>
    <pivotCache cacheId="10" r:id="rId25"/>
    <pivotCache cacheId="11" r:id="rId26"/>
    <pivotCache cacheId="12" r:id="rId27"/>
    <pivotCache cacheId="13" r:id="rId28"/>
    <pivotCache cacheId="14" r:id="rId29"/>
    <pivotCache cacheId="15" r:id="rId30"/>
    <pivotCache cacheId="16" r:id="rId31"/>
    <pivotCache cacheId="17" r:id="rId32"/>
    <pivotCache cacheId="18" r:id="rId33"/>
    <pivotCache cacheId="19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1" l="1"/>
  <c r="F26" i="31"/>
  <c r="F21" i="31"/>
  <c r="F20" i="31"/>
  <c r="F18" i="31"/>
  <c r="F17" i="31"/>
  <c r="F15" i="31"/>
  <c r="F14" i="31"/>
  <c r="F12" i="31"/>
  <c r="F11" i="31"/>
  <c r="F27" i="33"/>
  <c r="F26" i="33"/>
  <c r="F21" i="33"/>
  <c r="F20" i="33"/>
  <c r="F18" i="33"/>
  <c r="F17" i="33"/>
  <c r="F15" i="33"/>
  <c r="F14" i="33"/>
  <c r="F12" i="33"/>
  <c r="F11" i="33"/>
  <c r="D90" i="21"/>
  <c r="D89" i="21"/>
  <c r="D88" i="21"/>
  <c r="D87" i="21"/>
  <c r="D86" i="21"/>
  <c r="C90" i="21"/>
  <c r="C89" i="21"/>
  <c r="C88" i="21"/>
  <c r="C87" i="21"/>
  <c r="C86" i="21"/>
  <c r="V30" i="29"/>
  <c r="V29" i="29"/>
  <c r="V27" i="29"/>
  <c r="V26" i="29"/>
  <c r="V25" i="29"/>
  <c r="V24" i="29"/>
  <c r="V23" i="29"/>
  <c r="V22" i="29"/>
  <c r="V21" i="29"/>
  <c r="V20" i="29"/>
  <c r="V18" i="29"/>
  <c r="V16" i="29"/>
  <c r="V15" i="29"/>
  <c r="V13" i="29"/>
  <c r="V12" i="29"/>
  <c r="V10" i="29"/>
  <c r="V8" i="29"/>
  <c r="V7" i="29"/>
  <c r="V5" i="29"/>
  <c r="V4" i="29"/>
  <c r="V28" i="26"/>
  <c r="V26" i="26"/>
  <c r="V24" i="26"/>
  <c r="V22" i="26"/>
  <c r="V21" i="26"/>
  <c r="V20" i="26"/>
  <c r="V18" i="26"/>
  <c r="V16" i="26"/>
  <c r="V15" i="26"/>
  <c r="V13" i="26"/>
  <c r="V12" i="26"/>
  <c r="V10" i="26"/>
  <c r="V8" i="26"/>
  <c r="V7" i="26"/>
  <c r="V5" i="26"/>
  <c r="V4" i="26"/>
  <c r="O8" i="24"/>
  <c r="O7" i="24"/>
  <c r="O4" i="24"/>
  <c r="O7" i="25"/>
  <c r="O4" i="25"/>
  <c r="O3" i="25"/>
  <c r="O3" i="24"/>
  <c r="V15" i="22"/>
  <c r="V20" i="23"/>
  <c r="V18" i="23"/>
  <c r="V16" i="23"/>
  <c r="V15" i="23"/>
  <c r="V14" i="23"/>
  <c r="V13" i="23"/>
  <c r="V10" i="23"/>
  <c r="V7" i="23"/>
  <c r="V3" i="23"/>
  <c r="V14" i="22"/>
  <c r="V13" i="22"/>
  <c r="V10" i="22"/>
  <c r="V3" i="22"/>
  <c r="V7" i="22"/>
  <c r="Q35" i="20"/>
  <c r="Q34" i="20"/>
  <c r="Q33" i="20"/>
  <c r="Q32" i="20"/>
  <c r="Q31" i="20"/>
  <c r="E34" i="20"/>
  <c r="E33" i="20"/>
  <c r="E32" i="20"/>
  <c r="E31" i="20"/>
  <c r="P23" i="19"/>
  <c r="P22" i="19"/>
  <c r="P20" i="19"/>
  <c r="P14" i="17"/>
  <c r="P12" i="17"/>
  <c r="P19" i="19"/>
  <c r="P18" i="19"/>
  <c r="P17" i="19"/>
  <c r="P16" i="19"/>
  <c r="P15" i="19"/>
  <c r="P14" i="19"/>
  <c r="P13" i="17"/>
  <c r="P11" i="17"/>
  <c r="P15" i="17"/>
  <c r="P17" i="17"/>
  <c r="P18" i="17"/>
  <c r="N13" i="19"/>
  <c r="N10" i="17"/>
  <c r="N12" i="19"/>
  <c r="N9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E6F80-C833-47BF-B1AA-DCA969101032}" keepAlive="1" name="Query - Advanced Goalkeeping 2023-2024 Manchester City: Premier League Table" description="Connection to the 'Advanced Goalkeeping 2023-2024 Manchester City: Premier League Table' query in the workbook." type="5" refreshedVersion="8" background="1" saveData="1">
    <dbPr connection="Provider=Microsoft.Mashup.OleDb.1;Data Source=$Workbook$;Location=&quot;Advanced Goalkeeping 2023-2024 Manchester City: Premier League Table&quot;;Extended Properties=&quot;&quot;" command="SELECT * FROM [Advanced Goalkeeping 2023-2024 Manchester City: Premier League Table]"/>
  </connection>
  <connection id="2" xr16:uid="{17CAD403-B5FD-483D-B9F6-7FAB5EB0386B}" keepAlive="1" name="Query - Advanced Goalkeeping 2024-2025 Manchester City: Premier League Table" description="Connection to the 'Advanced Goalkeeping 2024-2025 Manchester City: Premier League Table' query in the workbook." type="5" refreshedVersion="8" background="1" saveData="1">
    <dbPr connection="Provider=Microsoft.Mashup.OleDb.1;Data Source=$Workbook$;Location=&quot;Advanced Goalkeeping 2024-2025 Manchester City: Premier League Table&quot;;Extended Properties=&quot;&quot;" command="SELECT * FROM [Advanced Goalkeeping 2024-2025 Manchester City: Premier League Table]"/>
  </connection>
  <connection id="3" xr16:uid="{C9639E84-5A14-483D-96BC-3993F630D75B}" keepAlive="1" name="Query - Defensive Actions 2023-2024 Manchester City: Premier League Table" description="Connection to the 'Defensive Actions 2023-2024 Manchester City: Premier League Table' query in the workbook." type="5" refreshedVersion="8" background="1" saveData="1">
    <dbPr connection="Provider=Microsoft.Mashup.OleDb.1;Data Source=$Workbook$;Location=&quot;Defensive Actions 2023-2024 Manchester City: Premier League Table&quot;;Extended Properties=&quot;&quot;" command="SELECT * FROM [Defensive Actions 2023-2024 Manchester City: Premier League Table]"/>
  </connection>
  <connection id="4" xr16:uid="{8BD9B1DC-EAA0-461E-B646-425BE357AE2F}" keepAlive="1" name="Query - Defensive Actions 2024-2025 Manchester City: Premier League Table" description="Connection to the 'Defensive Actions 2024-2025 Manchester City: Premier League Table' query in the workbook." type="5" refreshedVersion="8" background="1" saveData="1">
    <dbPr connection="Provider=Microsoft.Mashup.OleDb.1;Data Source=$Workbook$;Location=&quot;Defensive Actions 2024-2025 Manchester City: Premier League Table&quot;;Extended Properties=&quot;&quot;" command="SELECT * FROM [Defensive Actions 2024-2025 Manchester City: Premier League Table]"/>
  </connection>
  <connection id="5" xr16:uid="{6E138BA8-7726-455E-90B3-73A5EFA60E4F}" keepAlive="1" name="Query - Passing 2023-2024 Manchester City: Premier League Table" description="Connection to the 'Passing 2023-2024 Manchester City: Premier League Table' query in the workbook." type="5" refreshedVersion="8" background="1" saveData="1">
    <dbPr connection="Provider=Microsoft.Mashup.OleDb.1;Data Source=$Workbook$;Location=&quot;Passing 2023-2024 Manchester City: Premier League Table&quot;;Extended Properties=&quot;&quot;" command="SELECT * FROM [Passing 2023-2024 Manchester City: Premier League Table]"/>
  </connection>
  <connection id="6" xr16:uid="{4F83A9DC-F1C6-4B34-A871-183420C2CF6B}" keepAlive="1" name="Query - Passing 2024-2025 Manchester City: Premier League Table" description="Connection to the 'Passing 2024-2025 Manchester City: Premier League Table' query in the workbook." type="5" refreshedVersion="8" background="1" saveData="1">
    <dbPr connection="Provider=Microsoft.Mashup.OleDb.1;Data Source=$Workbook$;Location=&quot;Passing 2024-2025 Manchester City: Premier League Table&quot;;Extended Properties=&quot;&quot;" command="SELECT * FROM [Passing 2024-2025 Manchester City: Premier League Table]"/>
  </connection>
  <connection id="7" xr16:uid="{B87A322F-418A-4B6B-83A3-C3D49E55D345}" keepAlive="1" name="Query - Possession 2023-2024 Manchester City: Premier League Table" description="Connection to the 'Possession 2023-2024 Manchester City: Premier League Table' query in the workbook." type="5" refreshedVersion="8" background="1" saveData="1">
    <dbPr connection="Provider=Microsoft.Mashup.OleDb.1;Data Source=$Workbook$;Location=&quot;Possession 2023-2024 Manchester City: Premier League Table&quot;;Extended Properties=&quot;&quot;" command="SELECT * FROM [Possession 2023-2024 Manchester City: Premier League Table]"/>
  </connection>
  <connection id="8" xr16:uid="{F25AEF60-56B1-4251-A329-F20612A0E278}" keepAlive="1" name="Query - Possession 2024-2025 Manchester City: Premier League Table" description="Connection to the 'Possession 2024-2025 Manchester City: Premier League Table' query in the workbook." type="5" refreshedVersion="8" background="1" saveData="1">
    <dbPr connection="Provider=Microsoft.Mashup.OleDb.1;Data Source=$Workbook$;Location=&quot;Possession 2024-2025 Manchester City: Premier League Table&quot;;Extended Properties=&quot;&quot;" command="SELECT * FROM [Possession 2024-2025 Manchester City: Premier League Table]"/>
  </connection>
  <connection id="9" xr16:uid="{3C18E087-31AD-4A17-98B2-14B27EDDFF04}" keepAlive="1" name="Query - Shooting 2023-2024 Manchester City: Premier League Table" description="Connection to the 'Shooting 2023-2024 Manchester City: Premier League Table' query in the workbook." type="5" refreshedVersion="8" background="1" saveData="1">
    <dbPr connection="Provider=Microsoft.Mashup.OleDb.1;Data Source=$Workbook$;Location=&quot;Shooting 2023-2024 Manchester City: Premier League Table&quot;;Extended Properties=&quot;&quot;" command="SELECT * FROM [Shooting 2023-2024 Manchester City: Premier League Table]"/>
  </connection>
  <connection id="10" xr16:uid="{DFBCA6E4-F9B1-4376-9ACE-C32E17CE5586}" keepAlive="1" name="Query - Shooting 2024-2025 Manchester City: Premier League Table" description="Connection to the 'Shooting 2024-2025 Manchester City: Premier League Table' query in the workbook." type="5" refreshedVersion="8" background="1" saveData="1">
    <dbPr connection="Provider=Microsoft.Mashup.OleDb.1;Data Source=$Workbook$;Location=&quot;Shooting 2024-2025 Manchester City: Premier League Table&quot;;Extended Properties=&quot;&quot;" command="SELECT * FROM [Shooting 2024-2025 Manchester City: Premier League Table]"/>
  </connection>
  <connection id="11" xr16:uid="{3A0763F8-A31E-499E-994A-7EE18B7A7F85}" keepAlive="1" name="Query - Standard Stats 2023-2024 Manchester City: Premier League Table" description="Connection to the 'Standard Stats 2023-2024 Manchester City: Premier League Table' query in the workbook." type="5" refreshedVersion="8" background="1" saveData="1">
    <dbPr connection="Provider=Microsoft.Mashup.OleDb.1;Data Source=$Workbook$;Location=&quot;Standard Stats 2023-2024 Manchester City: Premier League Table&quot;;Extended Properties=&quot;&quot;" command="SELECT * FROM [Standard Stats 2023-2024 Manchester City: Premier League Table]"/>
  </connection>
  <connection id="12" xr16:uid="{D1E3320B-7946-4C96-8640-833E50F06D98}" keepAlive="1" name="Query - Standard Stats 2024-2025 Manchester City: Premier League Table" description="Connection to the 'Standard Stats 2024-2025 Manchester City: Premier League Table' query in the workbook." type="5" refreshedVersion="8" background="1" saveData="1">
    <dbPr connection="Provider=Microsoft.Mashup.OleDb.1;Data Source=$Workbook$;Location=&quot;Standard Stats 2024-2025 Manchester City: Premier League Table&quot;;Extended Properties=&quot;&quot;" command="SELECT * FROM [Standard Stats 2024-2025 Manchester City: Premier League Table]"/>
  </connection>
</connections>
</file>

<file path=xl/sharedStrings.xml><?xml version="1.0" encoding="utf-8"?>
<sst xmlns="http://schemas.openxmlformats.org/spreadsheetml/2006/main" count="5229" uniqueCount="1114">
  <si>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</si>
  <si>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</si>
  <si>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</si>
  <si>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</si>
  <si>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</si>
  <si>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</si>
  <si>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</si>
  <si>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</si>
  <si>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</si>
  <si>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</si>
  <si>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</si>
  <si>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</si>
  <si>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</si>
  <si>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</si>
  <si>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</si>
  <si>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</si>
  <si>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</si>
  <si>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</si>
  <si>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</si>
  <si>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</si>
  <si>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</si>
  <si>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</si>
  <si>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</si>
  <si>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</si>
  <si>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</si>
  <si>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</si>
  <si>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</si>
  <si>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</si>
  <si>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</si>
  <si>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</si>
  <si>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/>
  </si>
  <si>
    <t>Playing Time</t>
  </si>
  <si>
    <t>Performance</t>
  </si>
  <si>
    <t>Expected</t>
  </si>
  <si>
    <t>Progression</t>
  </si>
  <si>
    <t>Per 90 Minutes</t>
  </si>
  <si>
    <t>Player</t>
  </si>
  <si>
    <t>Nation</t>
  </si>
  <si>
    <t>Pos</t>
  </si>
  <si>
    <t>Age</t>
  </si>
  <si>
    <t>Starts</t>
  </si>
  <si>
    <t>Min</t>
  </si>
  <si>
    <t>90s</t>
  </si>
  <si>
    <t>G+A</t>
  </si>
  <si>
    <t>PK</t>
  </si>
  <si>
    <t>xG</t>
  </si>
  <si>
    <t>xAG</t>
  </si>
  <si>
    <t>PrgC</t>
  </si>
  <si>
    <t>PrgR</t>
  </si>
  <si>
    <t>Matches</t>
  </si>
  <si>
    <t>Erling Haaland</t>
  </si>
  <si>
    <t>no NOR</t>
  </si>
  <si>
    <t>FW</t>
  </si>
  <si>
    <t>24</t>
  </si>
  <si>
    <t>23.6</t>
  </si>
  <si>
    <t>19</t>
  </si>
  <si>
    <t>2</t>
  </si>
  <si>
    <t>21</t>
  </si>
  <si>
    <t>18</t>
  </si>
  <si>
    <t>1</t>
  </si>
  <si>
    <t>0</t>
  </si>
  <si>
    <t>18.2</t>
  </si>
  <si>
    <t>16.6</t>
  </si>
  <si>
    <t>2.1</t>
  </si>
  <si>
    <t>16</t>
  </si>
  <si>
    <t>15</t>
  </si>
  <si>
    <t>95</t>
  </si>
  <si>
    <t>0.81</t>
  </si>
  <si>
    <t>0.08</t>
  </si>
  <si>
    <t>0.89</t>
  </si>
  <si>
    <t>0.76</t>
  </si>
  <si>
    <t>0.85</t>
  </si>
  <si>
    <t>0.77</t>
  </si>
  <si>
    <t>0.09</t>
  </si>
  <si>
    <t>0.79</t>
  </si>
  <si>
    <t>Joško Gvardiol</t>
  </si>
  <si>
    <t>hr CRO</t>
  </si>
  <si>
    <t>DF</t>
  </si>
  <si>
    <t>23</t>
  </si>
  <si>
    <t>22</t>
  </si>
  <si>
    <t>22.5</t>
  </si>
  <si>
    <t>5</t>
  </si>
  <si>
    <t>4.2</t>
  </si>
  <si>
    <t>3.8</t>
  </si>
  <si>
    <t>1.5</t>
  </si>
  <si>
    <t>56</t>
  </si>
  <si>
    <t>163</t>
  </si>
  <si>
    <t>79</t>
  </si>
  <si>
    <t>0.22</t>
  </si>
  <si>
    <t>0.00</t>
  </si>
  <si>
    <t>0.19</t>
  </si>
  <si>
    <t>0.07</t>
  </si>
  <si>
    <t>0.25</t>
  </si>
  <si>
    <t>0.17</t>
  </si>
  <si>
    <t>0.24</t>
  </si>
  <si>
    <t>Bernardo Silva</t>
  </si>
  <si>
    <t>pt POR</t>
  </si>
  <si>
    <t>MF,FW</t>
  </si>
  <si>
    <t>21.3</t>
  </si>
  <si>
    <t>4</t>
  </si>
  <si>
    <t>6</t>
  </si>
  <si>
    <t>2.9</t>
  </si>
  <si>
    <t>4.0</t>
  </si>
  <si>
    <t>6.9</t>
  </si>
  <si>
    <t>77</t>
  </si>
  <si>
    <t>89</t>
  </si>
  <si>
    <t>156</t>
  </si>
  <si>
    <t>0.28</t>
  </si>
  <si>
    <t>0.13</t>
  </si>
  <si>
    <t>0.32</t>
  </si>
  <si>
    <t>Manuel Akanji</t>
  </si>
  <si>
    <t>ch SUI</t>
  </si>
  <si>
    <t>20</t>
  </si>
  <si>
    <t>19.0</t>
  </si>
  <si>
    <t>3</t>
  </si>
  <si>
    <t>0.7</t>
  </si>
  <si>
    <t>0.4</t>
  </si>
  <si>
    <t>1.1</t>
  </si>
  <si>
    <t>38</t>
  </si>
  <si>
    <t>0.04</t>
  </si>
  <si>
    <t>0.02</t>
  </si>
  <si>
    <t>0.06</t>
  </si>
  <si>
    <t>Mateo Kovačić</t>
  </si>
  <si>
    <t>MF</t>
  </si>
  <si>
    <t>17.2</t>
  </si>
  <si>
    <t>1.4</t>
  </si>
  <si>
    <t>3.4</t>
  </si>
  <si>
    <t>4.8</t>
  </si>
  <si>
    <t>43</t>
  </si>
  <si>
    <t>14</t>
  </si>
  <si>
    <t>0.23</t>
  </si>
  <si>
    <t>0.29</t>
  </si>
  <si>
    <t>0.20</t>
  </si>
  <si>
    <t>Rico Lewis</t>
  </si>
  <si>
    <t>eng ENG</t>
  </si>
  <si>
    <t>DF,MF</t>
  </si>
  <si>
    <t>15.6</t>
  </si>
  <si>
    <t>1.2</t>
  </si>
  <si>
    <t>0.3</t>
  </si>
  <si>
    <t>32</t>
  </si>
  <si>
    <t>80</t>
  </si>
  <si>
    <t>57</t>
  </si>
  <si>
    <t>Phil Foden</t>
  </si>
  <si>
    <t>15.2</t>
  </si>
  <si>
    <t>7</t>
  </si>
  <si>
    <t>9</t>
  </si>
  <si>
    <t>4.6</t>
  </si>
  <si>
    <t>3.9</t>
  </si>
  <si>
    <t>37</t>
  </si>
  <si>
    <t>98</t>
  </si>
  <si>
    <t>0.46</t>
  </si>
  <si>
    <t>0.59</t>
  </si>
  <si>
    <t>0.30</t>
  </si>
  <si>
    <t>0.26</t>
  </si>
  <si>
    <t>Ederson</t>
  </si>
  <si>
    <t>br BRA</t>
  </si>
  <si>
    <t>GK</t>
  </si>
  <si>
    <t>15.0</t>
  </si>
  <si>
    <t>0.0</t>
  </si>
  <si>
    <t>0.5</t>
  </si>
  <si>
    <t>0.03</t>
  </si>
  <si>
    <t>İlkay Gündoğan</t>
  </si>
  <si>
    <t>de GER</t>
  </si>
  <si>
    <t>14.9</t>
  </si>
  <si>
    <t>1.6</t>
  </si>
  <si>
    <t>1.9</t>
  </si>
  <si>
    <t>87</t>
  </si>
  <si>
    <t>59</t>
  </si>
  <si>
    <t>0.11</t>
  </si>
  <si>
    <t>Sávio</t>
  </si>
  <si>
    <t>FW,MF</t>
  </si>
  <si>
    <t>13.0</t>
  </si>
  <si>
    <t>3.1</t>
  </si>
  <si>
    <t>5.3</t>
  </si>
  <si>
    <t>94</t>
  </si>
  <si>
    <t>52</t>
  </si>
  <si>
    <t>153</t>
  </si>
  <si>
    <t>0.54</t>
  </si>
  <si>
    <t>0.40</t>
  </si>
  <si>
    <t>Rúben Dias</t>
  </si>
  <si>
    <t>13</t>
  </si>
  <si>
    <t>13.1</t>
  </si>
  <si>
    <t>1.3</t>
  </si>
  <si>
    <t>Kevin De Bruyne</t>
  </si>
  <si>
    <t>be BEL</t>
  </si>
  <si>
    <t>17</t>
  </si>
  <si>
    <t>11</t>
  </si>
  <si>
    <t>11.2</t>
  </si>
  <si>
    <t>8</t>
  </si>
  <si>
    <t>2.5</t>
  </si>
  <si>
    <t>6.0</t>
  </si>
  <si>
    <t>35</t>
  </si>
  <si>
    <t>99</t>
  </si>
  <si>
    <t>0.18</t>
  </si>
  <si>
    <t>0.53</t>
  </si>
  <si>
    <t>0.71</t>
  </si>
  <si>
    <t>Matheus Nunes</t>
  </si>
  <si>
    <t>10</t>
  </si>
  <si>
    <t>9.9</t>
  </si>
  <si>
    <t>39</t>
  </si>
  <si>
    <t>34</t>
  </si>
  <si>
    <t>121</t>
  </si>
  <si>
    <t>0.05</t>
  </si>
  <si>
    <t>0.34</t>
  </si>
  <si>
    <t>Kyle Walker</t>
  </si>
  <si>
    <t>10.8</t>
  </si>
  <si>
    <t>0.1</t>
  </si>
  <si>
    <t>0.6</t>
  </si>
  <si>
    <t>12</t>
  </si>
  <si>
    <t>64</t>
  </si>
  <si>
    <t>0.01</t>
  </si>
  <si>
    <t>Stefan Ortega</t>
  </si>
  <si>
    <t>9.0</t>
  </si>
  <si>
    <t>Jeremy Doku</t>
  </si>
  <si>
    <t>8.8</t>
  </si>
  <si>
    <t>0.8</t>
  </si>
  <si>
    <t>2.3</t>
  </si>
  <si>
    <t>104</t>
  </si>
  <si>
    <t>36</t>
  </si>
  <si>
    <t>147</t>
  </si>
  <si>
    <t>0.80</t>
  </si>
  <si>
    <t>Nathan Aké</t>
  </si>
  <si>
    <t>nl NED</t>
  </si>
  <si>
    <t>602</t>
  </si>
  <si>
    <t>6.7</t>
  </si>
  <si>
    <t>0.2</t>
  </si>
  <si>
    <t>Jack Grealish</t>
  </si>
  <si>
    <t>6.8</t>
  </si>
  <si>
    <t>1.7</t>
  </si>
  <si>
    <t>2.4</t>
  </si>
  <si>
    <t>66</t>
  </si>
  <si>
    <t>111</t>
  </si>
  <si>
    <t>0.15</t>
  </si>
  <si>
    <t>0.12</t>
  </si>
  <si>
    <t>0.36</t>
  </si>
  <si>
    <t>John Stones</t>
  </si>
  <si>
    <t>5.1</t>
  </si>
  <si>
    <t>0.39</t>
  </si>
  <si>
    <t>Omar Marmoush</t>
  </si>
  <si>
    <t>eg EGY</t>
  </si>
  <si>
    <t>0.44</t>
  </si>
  <si>
    <t>Jahmai Simpson-Pusey</t>
  </si>
  <si>
    <t>Rodri</t>
  </si>
  <si>
    <t>es ESP</t>
  </si>
  <si>
    <t>65</t>
  </si>
  <si>
    <t>Abdukodir Khusanov</t>
  </si>
  <si>
    <t>uz UZB</t>
  </si>
  <si>
    <t>53</t>
  </si>
  <si>
    <t>James Mcatee</t>
  </si>
  <si>
    <t>1.0</t>
  </si>
  <si>
    <t>1.01</t>
  </si>
  <si>
    <t>Divin Mubama</t>
  </si>
  <si>
    <t>28</t>
  </si>
  <si>
    <t>Nico O’Reilly</t>
  </si>
  <si>
    <t>Max Alleyne</t>
  </si>
  <si>
    <t>Thorsten Brits</t>
  </si>
  <si>
    <t>Scott Carson</t>
  </si>
  <si>
    <t>Issa Kaboré</t>
  </si>
  <si>
    <t>Vitor Reis</t>
  </si>
  <si>
    <t>Josh Wilson-Esbrand</t>
  </si>
  <si>
    <t>Jacob Wright</t>
  </si>
  <si>
    <t>Squad Total</t>
  </si>
  <si>
    <t>27.8</t>
  </si>
  <si>
    <t>264</t>
  </si>
  <si>
    <t>2,160</t>
  </si>
  <si>
    <t>24.0</t>
  </si>
  <si>
    <t>47</t>
  </si>
  <si>
    <t>82</t>
  </si>
  <si>
    <t>46</t>
  </si>
  <si>
    <t>44.2</t>
  </si>
  <si>
    <t>42.5</t>
  </si>
  <si>
    <t>37.0</t>
  </si>
  <si>
    <t>735</t>
  </si>
  <si>
    <t>1232</t>
  </si>
  <si>
    <t>1.96</t>
  </si>
  <si>
    <t>1.46</t>
  </si>
  <si>
    <t>3.42</t>
  </si>
  <si>
    <t>1.92</t>
  </si>
  <si>
    <t>1.84</t>
  </si>
  <si>
    <t>1.54</t>
  </si>
  <si>
    <t>Opponent Total</t>
  </si>
  <si>
    <t>26.9</t>
  </si>
  <si>
    <t>27</t>
  </si>
  <si>
    <t>61</t>
  </si>
  <si>
    <t>31</t>
  </si>
  <si>
    <t>54</t>
  </si>
  <si>
    <t>34.1</t>
  </si>
  <si>
    <t>31.8</t>
  </si>
  <si>
    <t>27.1</t>
  </si>
  <si>
    <t>377</t>
  </si>
  <si>
    <t>580</t>
  </si>
  <si>
    <t>1.42</t>
  </si>
  <si>
    <t>1.13</t>
  </si>
  <si>
    <t>2.54</t>
  </si>
  <si>
    <t>1.29</t>
  </si>
  <si>
    <t>32.6</t>
  </si>
  <si>
    <t>4.1</t>
  </si>
  <si>
    <t>8.0</t>
  </si>
  <si>
    <t>76</t>
  </si>
  <si>
    <t>376</t>
  </si>
  <si>
    <t>55</t>
  </si>
  <si>
    <t>0.52</t>
  </si>
  <si>
    <t>33</t>
  </si>
  <si>
    <t>31.7</t>
  </si>
  <si>
    <t>10.3</t>
  </si>
  <si>
    <t>8.4</t>
  </si>
  <si>
    <t>93</t>
  </si>
  <si>
    <t>168</t>
  </si>
  <si>
    <t>269</t>
  </si>
  <si>
    <t>0.60</t>
  </si>
  <si>
    <t>0.33</t>
  </si>
  <si>
    <t>29</t>
  </si>
  <si>
    <t>30.9</t>
  </si>
  <si>
    <t>Julián Álvarez</t>
  </si>
  <si>
    <t>ar ARG</t>
  </si>
  <si>
    <t>29.4</t>
  </si>
  <si>
    <t>11.5</t>
  </si>
  <si>
    <t>6.4</t>
  </si>
  <si>
    <t>180</t>
  </si>
  <si>
    <t>0.37</t>
  </si>
  <si>
    <t>0.27</t>
  </si>
  <si>
    <t>0.65</t>
  </si>
  <si>
    <t>0.31</t>
  </si>
  <si>
    <t>0.61</t>
  </si>
  <si>
    <t>30</t>
  </si>
  <si>
    <t>30.7</t>
  </si>
  <si>
    <t>2.6</t>
  </si>
  <si>
    <t>74</t>
  </si>
  <si>
    <t>172</t>
  </si>
  <si>
    <t>28.6</t>
  </si>
  <si>
    <t>3.7</t>
  </si>
  <si>
    <t>7.6</t>
  </si>
  <si>
    <t>140</t>
  </si>
  <si>
    <t>260</t>
  </si>
  <si>
    <t>0.21</t>
  </si>
  <si>
    <t>28.4</t>
  </si>
  <si>
    <t>29.2</t>
  </si>
  <si>
    <t>22.9</t>
  </si>
  <si>
    <t>4.3</t>
  </si>
  <si>
    <t>26</t>
  </si>
  <si>
    <t>126</t>
  </si>
  <si>
    <t>0.95</t>
  </si>
  <si>
    <t>1.03</t>
  </si>
  <si>
    <t>173</t>
  </si>
  <si>
    <t>27.9</t>
  </si>
  <si>
    <t>25.9</t>
  </si>
  <si>
    <t>4.5</t>
  </si>
  <si>
    <t>63</t>
  </si>
  <si>
    <t>115</t>
  </si>
  <si>
    <t>22.7</t>
  </si>
  <si>
    <t>0.16</t>
  </si>
  <si>
    <t>17.7</t>
  </si>
  <si>
    <t>7.1</t>
  </si>
  <si>
    <t>218</t>
  </si>
  <si>
    <t>295</t>
  </si>
  <si>
    <t>0.45</t>
  </si>
  <si>
    <t>0.62</t>
  </si>
  <si>
    <t>0.14</t>
  </si>
  <si>
    <t>13.6</t>
  </si>
  <si>
    <t>133</t>
  </si>
  <si>
    <t>0.74</t>
  </si>
  <si>
    <t>11.8</t>
  </si>
  <si>
    <t>50</t>
  </si>
  <si>
    <t>146</t>
  </si>
  <si>
    <t>0.41</t>
  </si>
  <si>
    <t>1.8</t>
  </si>
  <si>
    <t>7.3</t>
  </si>
  <si>
    <t>58</t>
  </si>
  <si>
    <t>Oscar Bobb</t>
  </si>
  <si>
    <t>25</t>
  </si>
  <si>
    <t>Kalvin Phillips</t>
  </si>
  <si>
    <t>Sergio Gómez</t>
  </si>
  <si>
    <t>1.70</t>
  </si>
  <si>
    <t>Aymeric Laporte</t>
  </si>
  <si>
    <t>Cole Palmer</t>
  </si>
  <si>
    <t>Micah Hamilton</t>
  </si>
  <si>
    <t>Máximo Perrone</t>
  </si>
  <si>
    <t>Mahamadou Susoho</t>
  </si>
  <si>
    <t>26.6</t>
  </si>
  <si>
    <t>3,420</t>
  </si>
  <si>
    <t>38.0</t>
  </si>
  <si>
    <t>85</t>
  </si>
  <si>
    <t>80.5</t>
  </si>
  <si>
    <t>72.9</t>
  </si>
  <si>
    <t>60.2</t>
  </si>
  <si>
    <t>1127</t>
  </si>
  <si>
    <t>2032</t>
  </si>
  <si>
    <t>2.47</t>
  </si>
  <si>
    <t>1.82</t>
  </si>
  <si>
    <t>4.29</t>
  </si>
  <si>
    <t>2.24</t>
  </si>
  <si>
    <t>2.12</t>
  </si>
  <si>
    <t>1.58</t>
  </si>
  <si>
    <t>26.4</t>
  </si>
  <si>
    <t>35.6</t>
  </si>
  <si>
    <t>33.2</t>
  </si>
  <si>
    <t>470</t>
  </si>
  <si>
    <t>822</t>
  </si>
  <si>
    <t>0.87</t>
  </si>
  <si>
    <t>1.47</t>
  </si>
  <si>
    <t>0.94</t>
  </si>
  <si>
    <t>0.69</t>
  </si>
  <si>
    <t>Total</t>
  </si>
  <si>
    <t>Short</t>
  </si>
  <si>
    <t>Medium</t>
  </si>
  <si>
    <t>Long</t>
  </si>
  <si>
    <t>Att</t>
  </si>
  <si>
    <t>TotDist</t>
  </si>
  <si>
    <t>PrgDist</t>
  </si>
  <si>
    <t>xA</t>
  </si>
  <si>
    <t>1/3</t>
  </si>
  <si>
    <t>24-206</t>
  </si>
  <si>
    <t>187</t>
  </si>
  <si>
    <t>40</t>
  </si>
  <si>
    <t>65.6</t>
  </si>
  <si>
    <t>66.7</t>
  </si>
  <si>
    <t>23-020</t>
  </si>
  <si>
    <t>2.2</t>
  </si>
  <si>
    <t>139</t>
  </si>
  <si>
    <t>30-186</t>
  </si>
  <si>
    <t>51</t>
  </si>
  <si>
    <t>3.3</t>
  </si>
  <si>
    <t>29-208</t>
  </si>
  <si>
    <t>6245</t>
  </si>
  <si>
    <t>694</t>
  </si>
  <si>
    <t>671</t>
  </si>
  <si>
    <t>149</t>
  </si>
  <si>
    <t>30-282</t>
  </si>
  <si>
    <t>60</t>
  </si>
  <si>
    <t>20-083</t>
  </si>
  <si>
    <t>541</t>
  </si>
  <si>
    <t>24-260</t>
  </si>
  <si>
    <t>404</t>
  </si>
  <si>
    <t>62.1</t>
  </si>
  <si>
    <t>31-179</t>
  </si>
  <si>
    <t>100.0</t>
  </si>
  <si>
    <t>112</t>
  </si>
  <si>
    <t>34-111</t>
  </si>
  <si>
    <t>97</t>
  </si>
  <si>
    <t>20-308</t>
  </si>
  <si>
    <t>1283</t>
  </si>
  <si>
    <t>331</t>
  </si>
  <si>
    <t>27-274</t>
  </si>
  <si>
    <t>1141</t>
  </si>
  <si>
    <t>489</t>
  </si>
  <si>
    <t>33-229</t>
  </si>
  <si>
    <t>232</t>
  </si>
  <si>
    <t>42</t>
  </si>
  <si>
    <t>26-169</t>
  </si>
  <si>
    <t>34-260</t>
  </si>
  <si>
    <t>724</t>
  </si>
  <si>
    <t>334</t>
  </si>
  <si>
    <t>32-098</t>
  </si>
  <si>
    <t>22-261</t>
  </si>
  <si>
    <t>63.6</t>
  </si>
  <si>
    <t>29-360</t>
  </si>
  <si>
    <t>439</t>
  </si>
  <si>
    <t>7148</t>
  </si>
  <si>
    <t>221</t>
  </si>
  <si>
    <t>29-155</t>
  </si>
  <si>
    <t>206</t>
  </si>
  <si>
    <t>101</t>
  </si>
  <si>
    <t>30-260</t>
  </si>
  <si>
    <t>354</t>
  </si>
  <si>
    <t>151</t>
  </si>
  <si>
    <t>26-005</t>
  </si>
  <si>
    <t>75.0</t>
  </si>
  <si>
    <t>19-100</t>
  </si>
  <si>
    <t>107</t>
  </si>
  <si>
    <t>549</t>
  </si>
  <si>
    <t>49</t>
  </si>
  <si>
    <t>42.9</t>
  </si>
  <si>
    <t>28-235</t>
  </si>
  <si>
    <t>20-349</t>
  </si>
  <si>
    <t>41</t>
  </si>
  <si>
    <t>48</t>
  </si>
  <si>
    <t>33.3</t>
  </si>
  <si>
    <t>22-117</t>
  </si>
  <si>
    <t>620</t>
  </si>
  <si>
    <t>50.0</t>
  </si>
  <si>
    <t>20-110</t>
  </si>
  <si>
    <t>44</t>
  </si>
  <si>
    <t>19-328</t>
  </si>
  <si>
    <t>6039</t>
  </si>
  <si>
    <t>36.8</t>
  </si>
  <si>
    <t>21.4</t>
  </si>
  <si>
    <t>45</t>
  </si>
  <si>
    <t>6.1</t>
  </si>
  <si>
    <t>71</t>
  </si>
  <si>
    <t>275</t>
  </si>
  <si>
    <t>276</t>
  </si>
  <si>
    <t>239</t>
  </si>
  <si>
    <t>1258</t>
  </si>
  <si>
    <t>272</t>
  </si>
  <si>
    <t>40.0</t>
  </si>
  <si>
    <t>6.3</t>
  </si>
  <si>
    <t>67</t>
  </si>
  <si>
    <t>932</t>
  </si>
  <si>
    <t>1020</t>
  </si>
  <si>
    <t>3.2</t>
  </si>
  <si>
    <t>534</t>
  </si>
  <si>
    <t>158</t>
  </si>
  <si>
    <t>567</t>
  </si>
  <si>
    <t>197</t>
  </si>
  <si>
    <t>70</t>
  </si>
  <si>
    <t>62.5</t>
  </si>
  <si>
    <t>204</t>
  </si>
  <si>
    <t>220</t>
  </si>
  <si>
    <t>50.6</t>
  </si>
  <si>
    <t>452</t>
  </si>
  <si>
    <t>5.9</t>
  </si>
  <si>
    <t>1435</t>
  </si>
  <si>
    <t>402</t>
  </si>
  <si>
    <t>499</t>
  </si>
  <si>
    <t>174</t>
  </si>
  <si>
    <t>2.8</t>
  </si>
  <si>
    <t>159</t>
  </si>
  <si>
    <t>60.0</t>
  </si>
  <si>
    <t>443</t>
  </si>
  <si>
    <t>47.8</t>
  </si>
  <si>
    <t>213</t>
  </si>
  <si>
    <t>108</t>
  </si>
  <si>
    <t>110</t>
  </si>
  <si>
    <t>62</t>
  </si>
  <si>
    <t>636</t>
  </si>
  <si>
    <t>484</t>
  </si>
  <si>
    <t>19.5</t>
  </si>
  <si>
    <t>181</t>
  </si>
  <si>
    <t>G/SoT</t>
  </si>
  <si>
    <t>FK</t>
  </si>
  <si>
    <t>13.4</t>
  </si>
  <si>
    <t>25.0</t>
  </si>
  <si>
    <t>0.50</t>
  </si>
  <si>
    <t>31.1</t>
  </si>
  <si>
    <t>16.7</t>
  </si>
  <si>
    <t>1.00</t>
  </si>
  <si>
    <t>105</t>
  </si>
  <si>
    <t>34.5</t>
  </si>
  <si>
    <t>38.6</t>
  </si>
  <si>
    <t>44.4</t>
  </si>
  <si>
    <t>Tackles</t>
  </si>
  <si>
    <t>Blocks</t>
  </si>
  <si>
    <t>Def 3rd</t>
  </si>
  <si>
    <t>Mid 3rd</t>
  </si>
  <si>
    <t>Att 3rd</t>
  </si>
  <si>
    <t>30.0</t>
  </si>
  <si>
    <t>119</t>
  </si>
  <si>
    <t>48.3</t>
  </si>
  <si>
    <t>150</t>
  </si>
  <si>
    <t>460</t>
  </si>
  <si>
    <t>243</t>
  </si>
  <si>
    <t>169</t>
  </si>
  <si>
    <t>222</t>
  </si>
  <si>
    <t>303</t>
  </si>
  <si>
    <t>193</t>
  </si>
  <si>
    <t>41.9</t>
  </si>
  <si>
    <t>43.9</t>
  </si>
  <si>
    <t>183</t>
  </si>
  <si>
    <t>236</t>
  </si>
  <si>
    <t>457</t>
  </si>
  <si>
    <t>282</t>
  </si>
  <si>
    <t>537</t>
  </si>
  <si>
    <t>847</t>
  </si>
  <si>
    <t>Goals</t>
  </si>
  <si>
    <t>PSxG</t>
  </si>
  <si>
    <t>21.5</t>
  </si>
  <si>
    <t>114</t>
  </si>
  <si>
    <t>44.7</t>
  </si>
  <si>
    <t>44.9</t>
  </si>
  <si>
    <t>287</t>
  </si>
  <si>
    <t>34.8</t>
  </si>
  <si>
    <t>44.8</t>
  </si>
  <si>
    <t>215</t>
  </si>
  <si>
    <t>45.6</t>
  </si>
  <si>
    <t>32.5</t>
  </si>
  <si>
    <t>88</t>
  </si>
  <si>
    <t>46.3</t>
  </si>
  <si>
    <t>41.2</t>
  </si>
  <si>
    <t>34.4</t>
  </si>
  <si>
    <t>45.2</t>
  </si>
  <si>
    <t>32.8</t>
  </si>
  <si>
    <t>Touches</t>
  </si>
  <si>
    <t>Take-Ons</t>
  </si>
  <si>
    <t>Carries</t>
  </si>
  <si>
    <t>Receiving</t>
  </si>
  <si>
    <t>Def Pen</t>
  </si>
  <si>
    <t>Att Pen</t>
  </si>
  <si>
    <t>Live</t>
  </si>
  <si>
    <t>Succ</t>
  </si>
  <si>
    <t>Succ%</t>
  </si>
  <si>
    <t>Tkld</t>
  </si>
  <si>
    <t>Tkld%</t>
  </si>
  <si>
    <t>CPA</t>
  </si>
  <si>
    <t>Mis</t>
  </si>
  <si>
    <t>Dis</t>
  </si>
  <si>
    <t>Rec</t>
  </si>
  <si>
    <t>492</t>
  </si>
  <si>
    <t>490</t>
  </si>
  <si>
    <t>52.0</t>
  </si>
  <si>
    <t>1152</t>
  </si>
  <si>
    <t>375</t>
  </si>
  <si>
    <t>1907</t>
  </si>
  <si>
    <t>447</t>
  </si>
  <si>
    <t>875</t>
  </si>
  <si>
    <t>63.3</t>
  </si>
  <si>
    <t>1211</t>
  </si>
  <si>
    <t>3514</t>
  </si>
  <si>
    <t>72</t>
  </si>
  <si>
    <t>1392</t>
  </si>
  <si>
    <t>1380</t>
  </si>
  <si>
    <t>623</t>
  </si>
  <si>
    <t>43.5</t>
  </si>
  <si>
    <t>863</t>
  </si>
  <si>
    <t>5659</t>
  </si>
  <si>
    <t>2851</t>
  </si>
  <si>
    <t>1025</t>
  </si>
  <si>
    <t>1591</t>
  </si>
  <si>
    <t>472</t>
  </si>
  <si>
    <t>773</t>
  </si>
  <si>
    <t>348</t>
  </si>
  <si>
    <t>1041</t>
  </si>
  <si>
    <t>5502</t>
  </si>
  <si>
    <t>3286</t>
  </si>
  <si>
    <t>1473</t>
  </si>
  <si>
    <t>825</t>
  </si>
  <si>
    <t>53.1</t>
  </si>
  <si>
    <t>28.1</t>
  </si>
  <si>
    <t>987</t>
  </si>
  <si>
    <t>5787</t>
  </si>
  <si>
    <t>2726</t>
  </si>
  <si>
    <t>1196</t>
  </si>
  <si>
    <t>1029</t>
  </si>
  <si>
    <t>186</t>
  </si>
  <si>
    <t>520</t>
  </si>
  <si>
    <t>57.1</t>
  </si>
  <si>
    <t>607</t>
  </si>
  <si>
    <t>3060</t>
  </si>
  <si>
    <t>1637</t>
  </si>
  <si>
    <t>745</t>
  </si>
  <si>
    <t>891</t>
  </si>
  <si>
    <t>310</t>
  </si>
  <si>
    <t>525</t>
  </si>
  <si>
    <t>557</t>
  </si>
  <si>
    <t>2886</t>
  </si>
  <si>
    <t>1393</t>
  </si>
  <si>
    <t>594</t>
  </si>
  <si>
    <t>406</t>
  </si>
  <si>
    <t>585</t>
  </si>
  <si>
    <t>386</t>
  </si>
  <si>
    <t>1685</t>
  </si>
  <si>
    <t>1035</t>
  </si>
  <si>
    <t>1188</t>
  </si>
  <si>
    <t>56.5</t>
  </si>
  <si>
    <t>26.1</t>
  </si>
  <si>
    <t>702</t>
  </si>
  <si>
    <t>3949</t>
  </si>
  <si>
    <t>1861</t>
  </si>
  <si>
    <t>731</t>
  </si>
  <si>
    <t>49.4</t>
  </si>
  <si>
    <t>30.4</t>
  </si>
  <si>
    <t>4309</t>
  </si>
  <si>
    <t>2489</t>
  </si>
  <si>
    <t>1313</t>
  </si>
  <si>
    <t>425</t>
  </si>
  <si>
    <t>686</t>
  </si>
  <si>
    <t>920</t>
  </si>
  <si>
    <t>5230</t>
  </si>
  <si>
    <t>3094</t>
  </si>
  <si>
    <t>1068</t>
  </si>
  <si>
    <t>874</t>
  </si>
  <si>
    <t>47.6</t>
  </si>
  <si>
    <t>497</t>
  </si>
  <si>
    <t>2481</t>
  </si>
  <si>
    <t>1340</t>
  </si>
  <si>
    <t>662</t>
  </si>
  <si>
    <t>705</t>
  </si>
  <si>
    <t>230</t>
  </si>
  <si>
    <t>359</t>
  </si>
  <si>
    <t>44.0</t>
  </si>
  <si>
    <t>2412</t>
  </si>
  <si>
    <t>1271</t>
  </si>
  <si>
    <t>508</t>
  </si>
  <si>
    <t>892</t>
  </si>
  <si>
    <t>473</t>
  </si>
  <si>
    <t>228</t>
  </si>
  <si>
    <t>2284</t>
  </si>
  <si>
    <t>1106</t>
  </si>
  <si>
    <t>630</t>
  </si>
  <si>
    <t>358</t>
  </si>
  <si>
    <t>356</t>
  </si>
  <si>
    <t>1079</t>
  </si>
  <si>
    <t>598</t>
  </si>
  <si>
    <t>536</t>
  </si>
  <si>
    <t>30.3</t>
  </si>
  <si>
    <t>403</t>
  </si>
  <si>
    <t>3701</t>
  </si>
  <si>
    <t>2353</t>
  </si>
  <si>
    <t>440</t>
  </si>
  <si>
    <t>519</t>
  </si>
  <si>
    <t>277</t>
  </si>
  <si>
    <t>344</t>
  </si>
  <si>
    <t>1912</t>
  </si>
  <si>
    <t>1263</t>
  </si>
  <si>
    <t>383</t>
  </si>
  <si>
    <t>438</t>
  </si>
  <si>
    <t>132</t>
  </si>
  <si>
    <t>32.0</t>
  </si>
  <si>
    <t>323</t>
  </si>
  <si>
    <t>2560</t>
  </si>
  <si>
    <t>384</t>
  </si>
  <si>
    <t>118</t>
  </si>
  <si>
    <t>201</t>
  </si>
  <si>
    <t>253</t>
  </si>
  <si>
    <t>1851</t>
  </si>
  <si>
    <t>289</t>
  </si>
  <si>
    <t>251</t>
  </si>
  <si>
    <t>123</t>
  </si>
  <si>
    <t>190</t>
  </si>
  <si>
    <t>125</t>
  </si>
  <si>
    <t>83</t>
  </si>
  <si>
    <t>17684</t>
  </si>
  <si>
    <t>1328</t>
  </si>
  <si>
    <t>4075</t>
  </si>
  <si>
    <t>7324</t>
  </si>
  <si>
    <t>6420</t>
  </si>
  <si>
    <t>904</t>
  </si>
  <si>
    <t>17682</t>
  </si>
  <si>
    <t>36.7</t>
  </si>
  <si>
    <t>11266</t>
  </si>
  <si>
    <t>64971</t>
  </si>
  <si>
    <t>35415</t>
  </si>
  <si>
    <t>263</t>
  </si>
  <si>
    <t>13432</t>
  </si>
  <si>
    <t>12502</t>
  </si>
  <si>
    <t>2012</t>
  </si>
  <si>
    <t>5325</t>
  </si>
  <si>
    <t>4782</t>
  </si>
  <si>
    <t>2510</t>
  </si>
  <si>
    <t>444</t>
  </si>
  <si>
    <t>12499</t>
  </si>
  <si>
    <t>36870</t>
  </si>
  <si>
    <t>18175</t>
  </si>
  <si>
    <t>227</t>
  </si>
  <si>
    <t>175</t>
  </si>
  <si>
    <t>8211</t>
  </si>
  <si>
    <t>3988</t>
  </si>
  <si>
    <t>664</t>
  </si>
  <si>
    <t>2337</t>
  </si>
  <si>
    <t>1013</t>
  </si>
  <si>
    <t>21.9</t>
  </si>
  <si>
    <t>2513</t>
  </si>
  <si>
    <t>11575</t>
  </si>
  <si>
    <t>6408</t>
  </si>
  <si>
    <t>3242</t>
  </si>
  <si>
    <t>2146</t>
  </si>
  <si>
    <t>785</t>
  </si>
  <si>
    <t>102</t>
  </si>
  <si>
    <t>46.1</t>
  </si>
  <si>
    <t>45.1</t>
  </si>
  <si>
    <t>6921</t>
  </si>
  <si>
    <t>3434</t>
  </si>
  <si>
    <t>1753</t>
  </si>
  <si>
    <t>965</t>
  </si>
  <si>
    <t>3714</t>
  </si>
  <si>
    <t>842</t>
  </si>
  <si>
    <t>1554</t>
  </si>
  <si>
    <t>988</t>
  </si>
  <si>
    <t>1552</t>
  </si>
  <si>
    <t>52.4</t>
  </si>
  <si>
    <t>914</t>
  </si>
  <si>
    <t>4459</t>
  </si>
  <si>
    <t>2092</t>
  </si>
  <si>
    <t>1103</t>
  </si>
  <si>
    <t>2613</t>
  </si>
  <si>
    <t>526</t>
  </si>
  <si>
    <t>1358</t>
  </si>
  <si>
    <t>749</t>
  </si>
  <si>
    <t>31.4</t>
  </si>
  <si>
    <t>1509</t>
  </si>
  <si>
    <t>7514</t>
  </si>
  <si>
    <t>4015</t>
  </si>
  <si>
    <t>1925</t>
  </si>
  <si>
    <t>2194</t>
  </si>
  <si>
    <t>245</t>
  </si>
  <si>
    <t>905</t>
  </si>
  <si>
    <t>1055</t>
  </si>
  <si>
    <t>62.3</t>
  </si>
  <si>
    <t>1500</t>
  </si>
  <si>
    <t>8450</t>
  </si>
  <si>
    <t>4544</t>
  </si>
  <si>
    <t>1757</t>
  </si>
  <si>
    <t>398</t>
  </si>
  <si>
    <t>628</t>
  </si>
  <si>
    <t>53.3</t>
  </si>
  <si>
    <t>357</t>
  </si>
  <si>
    <t>1628</t>
  </si>
  <si>
    <t>728</t>
  </si>
  <si>
    <t>2877</t>
  </si>
  <si>
    <t>231</t>
  </si>
  <si>
    <t>1002</t>
  </si>
  <si>
    <t>1600</t>
  </si>
  <si>
    <t>1996</t>
  </si>
  <si>
    <t>10862</t>
  </si>
  <si>
    <t>6693</t>
  </si>
  <si>
    <t>2301</t>
  </si>
  <si>
    <t>2544</t>
  </si>
  <si>
    <t>779</t>
  </si>
  <si>
    <t>1385</t>
  </si>
  <si>
    <t>392</t>
  </si>
  <si>
    <t>1639</t>
  </si>
  <si>
    <t>8282</t>
  </si>
  <si>
    <t>4923</t>
  </si>
  <si>
    <t>1983</t>
  </si>
  <si>
    <t>2179</t>
  </si>
  <si>
    <t>1124</t>
  </si>
  <si>
    <t>622</t>
  </si>
  <si>
    <t>57.8</t>
  </si>
  <si>
    <t>1285</t>
  </si>
  <si>
    <t>6099</t>
  </si>
  <si>
    <t>3249</t>
  </si>
  <si>
    <t>1529</t>
  </si>
  <si>
    <t>2026</t>
  </si>
  <si>
    <t>634</t>
  </si>
  <si>
    <t>1116</t>
  </si>
  <si>
    <t>281</t>
  </si>
  <si>
    <t>1280</t>
  </si>
  <si>
    <t>3501</t>
  </si>
  <si>
    <t>1507</t>
  </si>
  <si>
    <t>1161</t>
  </si>
  <si>
    <t>226</t>
  </si>
  <si>
    <t>51.5</t>
  </si>
  <si>
    <t>37.9</t>
  </si>
  <si>
    <t>879</t>
  </si>
  <si>
    <t>7535</t>
  </si>
  <si>
    <t>4884</t>
  </si>
  <si>
    <t>937</t>
  </si>
  <si>
    <t>1689</t>
  </si>
  <si>
    <t>395</t>
  </si>
  <si>
    <t>6091</t>
  </si>
  <si>
    <t>2733</t>
  </si>
  <si>
    <t>1431</t>
  </si>
  <si>
    <t>86</t>
  </si>
  <si>
    <t>633</t>
  </si>
  <si>
    <t>2916</t>
  </si>
  <si>
    <t>1647</t>
  </si>
  <si>
    <t>833</t>
  </si>
  <si>
    <t>907</t>
  </si>
  <si>
    <t>189</t>
  </si>
  <si>
    <t>596</t>
  </si>
  <si>
    <t>3319</t>
  </si>
  <si>
    <t>1646</t>
  </si>
  <si>
    <t>742</t>
  </si>
  <si>
    <t>697</t>
  </si>
  <si>
    <t>26.8</t>
  </si>
  <si>
    <t>522</t>
  </si>
  <si>
    <t>4025</t>
  </si>
  <si>
    <t>2080</t>
  </si>
  <si>
    <t>578</t>
  </si>
  <si>
    <t>380</t>
  </si>
  <si>
    <t>1758</t>
  </si>
  <si>
    <t>964</t>
  </si>
  <si>
    <t>486</t>
  </si>
  <si>
    <t>529</t>
  </si>
  <si>
    <t>234</t>
  </si>
  <si>
    <t>39.1</t>
  </si>
  <si>
    <t>347</t>
  </si>
  <si>
    <t>2001</t>
  </si>
  <si>
    <t>279</t>
  </si>
  <si>
    <t>480</t>
  </si>
  <si>
    <t>219</t>
  </si>
  <si>
    <t>61.1</t>
  </si>
  <si>
    <t>31414</t>
  </si>
  <si>
    <t>2162</t>
  </si>
  <si>
    <t>7012</t>
  </si>
  <si>
    <t>14348</t>
  </si>
  <si>
    <t>10260</t>
  </si>
  <si>
    <t>1466</t>
  </si>
  <si>
    <t>31404</t>
  </si>
  <si>
    <t>51.6</t>
  </si>
  <si>
    <t>20210</t>
  </si>
  <si>
    <t>105397</t>
  </si>
  <si>
    <t>58071</t>
  </si>
  <si>
    <t>867</t>
  </si>
  <si>
    <t>415</t>
  </si>
  <si>
    <t>441</t>
  </si>
  <si>
    <t>24343</t>
  </si>
  <si>
    <t>18890</t>
  </si>
  <si>
    <t>3282</t>
  </si>
  <si>
    <t>8694</t>
  </si>
  <si>
    <t>7051</t>
  </si>
  <si>
    <t>3326</t>
  </si>
  <si>
    <t>561</t>
  </si>
  <si>
    <t>18887</t>
  </si>
  <si>
    <t>47.3</t>
  </si>
  <si>
    <t>44.5</t>
  </si>
  <si>
    <t>10332</t>
  </si>
  <si>
    <t>52964</t>
  </si>
  <si>
    <t>24987</t>
  </si>
  <si>
    <t>325</t>
  </si>
  <si>
    <t>509</t>
  </si>
  <si>
    <t>11765</t>
  </si>
  <si>
    <t>Till 12.02.2025</t>
  </si>
  <si>
    <t>NOR</t>
  </si>
  <si>
    <t>CRO</t>
  </si>
  <si>
    <t>POR</t>
  </si>
  <si>
    <t>SUI</t>
  </si>
  <si>
    <t>ENG</t>
  </si>
  <si>
    <t>BRA</t>
  </si>
  <si>
    <t>GER</t>
  </si>
  <si>
    <t>BEL</t>
  </si>
  <si>
    <t>NED</t>
  </si>
  <si>
    <t>EGY</t>
  </si>
  <si>
    <t>ESP</t>
  </si>
  <si>
    <t>UZB</t>
  </si>
  <si>
    <t>BFA</t>
  </si>
  <si>
    <t>PK attemp</t>
  </si>
  <si>
    <t>Crd Yellow</t>
  </si>
  <si>
    <t>Crd Red</t>
  </si>
  <si>
    <t>Prg Carries</t>
  </si>
  <si>
    <t>Prg Passes</t>
  </si>
  <si>
    <t>Prg Pass Receive</t>
  </si>
  <si>
    <t>Goals-PK</t>
  </si>
  <si>
    <t>Goals-PK xG</t>
  </si>
  <si>
    <t>Assists</t>
  </si>
  <si>
    <t>Assist</t>
  </si>
  <si>
    <t>ARG</t>
  </si>
  <si>
    <t>Row Labels</t>
  </si>
  <si>
    <t>Grand Total</t>
  </si>
  <si>
    <t>(All)</t>
  </si>
  <si>
    <t>Sum of Matches</t>
  </si>
  <si>
    <t>Sum of Starts</t>
  </si>
  <si>
    <t>Sum of Min</t>
  </si>
  <si>
    <t>Sum of Goals</t>
  </si>
  <si>
    <t>Sum of Assists</t>
  </si>
  <si>
    <t>Sum of GolAsist</t>
  </si>
  <si>
    <t>24-25</t>
  </si>
  <si>
    <t>Most maches</t>
  </si>
  <si>
    <t>Haaland</t>
  </si>
  <si>
    <t>Most starts</t>
  </si>
  <si>
    <t>Most minutes</t>
  </si>
  <si>
    <t>Sum of Goalpermatch</t>
  </si>
  <si>
    <t>City scored</t>
  </si>
  <si>
    <t>City seen</t>
  </si>
  <si>
    <t>City played</t>
  </si>
  <si>
    <t>City Goalper match</t>
  </si>
  <si>
    <t>City seen per match</t>
  </si>
  <si>
    <t>Most assist</t>
  </si>
  <si>
    <t>Savio</t>
  </si>
  <si>
    <t>De Bruyne</t>
  </si>
  <si>
    <t>Sum of Prg Carries</t>
  </si>
  <si>
    <t>Sum of Prg Passes</t>
  </si>
  <si>
    <t>Doku</t>
  </si>
  <si>
    <t>Most prog passes</t>
  </si>
  <si>
    <t>Most prog Carries</t>
  </si>
  <si>
    <t>Gvardiol</t>
  </si>
  <si>
    <t>Akanji</t>
  </si>
  <si>
    <t>Formations</t>
  </si>
  <si>
    <t>4-3-3.</t>
  </si>
  <si>
    <t>3-2-4-1.</t>
  </si>
  <si>
    <t>4-1-4-1.</t>
  </si>
  <si>
    <t>4-2-3-1.</t>
  </si>
  <si>
    <t>Column42</t>
  </si>
  <si>
    <t>Sum of GoalAssist</t>
  </si>
  <si>
    <t>Sum of Goalpermat</t>
  </si>
  <si>
    <t>Alvarez</t>
  </si>
  <si>
    <t>Foden</t>
  </si>
  <si>
    <t>23-24</t>
  </si>
  <si>
    <t>B. Silva</t>
  </si>
  <si>
    <t>per match</t>
  </si>
  <si>
    <t>permatch</t>
  </si>
  <si>
    <t>B.Silva</t>
  </si>
  <si>
    <t>3-4-2-1.</t>
  </si>
  <si>
    <t>xGA</t>
  </si>
  <si>
    <t>Most goals</t>
  </si>
  <si>
    <t>Most Goals</t>
  </si>
  <si>
    <t>xG per match</t>
  </si>
  <si>
    <t>xGA per match</t>
  </si>
  <si>
    <t>Seen per match</t>
  </si>
  <si>
    <t>Goals per match</t>
  </si>
  <si>
    <t>completed</t>
  </si>
  <si>
    <t>attempted</t>
  </si>
  <si>
    <t>distance</t>
  </si>
  <si>
    <t>asists</t>
  </si>
  <si>
    <t>key passes</t>
  </si>
  <si>
    <t>pass to 1/3</t>
  </si>
  <si>
    <t>cross to PA</t>
  </si>
  <si>
    <t>passes to PA</t>
  </si>
  <si>
    <t>Prog passes</t>
  </si>
  <si>
    <t>Sum of attempted</t>
  </si>
  <si>
    <t>Sum of completed</t>
  </si>
  <si>
    <t>Sum of Passes %</t>
  </si>
  <si>
    <t>Long passes attempted</t>
  </si>
  <si>
    <t>Long passes completed</t>
  </si>
  <si>
    <t>Sum of Long passes %</t>
  </si>
  <si>
    <t>Short passes attempted</t>
  </si>
  <si>
    <t>Short passes completed</t>
  </si>
  <si>
    <t>Sum of Short passes %</t>
  </si>
  <si>
    <t>Sum of key passes</t>
  </si>
  <si>
    <t>Sum of pass to 1/3</t>
  </si>
  <si>
    <t>Sum of Prog passes</t>
  </si>
  <si>
    <t>Most completed passes</t>
  </si>
  <si>
    <t>Ruben Dias</t>
  </si>
  <si>
    <t>Most completed short passes</t>
  </si>
  <si>
    <t>Most short passes % (500+)</t>
  </si>
  <si>
    <t>Most completed long passes</t>
  </si>
  <si>
    <t>Most long passes % (50+)</t>
  </si>
  <si>
    <t>Most Key Passes</t>
  </si>
  <si>
    <t>Most passes to 1/3 area</t>
  </si>
  <si>
    <t>Most Progressive passes</t>
  </si>
  <si>
    <t>PASSES</t>
  </si>
  <si>
    <t>GENERAL, ATTACKING</t>
  </si>
  <si>
    <t>Most passes % (1000+)</t>
  </si>
  <si>
    <t>Most passes % (2000+)</t>
  </si>
  <si>
    <t>Most short passes % (1000+)</t>
  </si>
  <si>
    <t>Most long passes % (100+)</t>
  </si>
  <si>
    <t>Comp pass pm</t>
  </si>
  <si>
    <t>Comp short pass pm</t>
  </si>
  <si>
    <t>Comp long pass pm</t>
  </si>
  <si>
    <t>Most key passes per match</t>
  </si>
  <si>
    <t>`</t>
  </si>
  <si>
    <t>Shoots</t>
  </si>
  <si>
    <t>S on Target</t>
  </si>
  <si>
    <t>PK attemped</t>
  </si>
  <si>
    <t>Sum of Shoots</t>
  </si>
  <si>
    <t>Sum of S on Target</t>
  </si>
  <si>
    <t>Sum of Shoots per match</t>
  </si>
  <si>
    <t>Sum of S on T per match</t>
  </si>
  <si>
    <t>Sum of Goals % per S on T</t>
  </si>
  <si>
    <t>Most shoots</t>
  </si>
  <si>
    <t>Most S on Target</t>
  </si>
  <si>
    <t xml:space="preserve">Most Goals % per S on Target (5+ goals) </t>
  </si>
  <si>
    <t>Total Shoots</t>
  </si>
  <si>
    <t>Total S on Target</t>
  </si>
  <si>
    <t xml:space="preserve">Most Goals % per S on Target (10+ goals) </t>
  </si>
  <si>
    <t>Tackles Won</t>
  </si>
  <si>
    <t xml:space="preserve">Tackles Def </t>
  </si>
  <si>
    <t xml:space="preserve">Tackles Mid </t>
  </si>
  <si>
    <t>Dribbles Tackled</t>
  </si>
  <si>
    <t>Tackles Lost</t>
  </si>
  <si>
    <t>Shoots Block</t>
  </si>
  <si>
    <t>Passes Block</t>
  </si>
  <si>
    <t>Interceptions</t>
  </si>
  <si>
    <t>Clearances</t>
  </si>
  <si>
    <t>Errors to shoot</t>
  </si>
  <si>
    <t>Sum of Tackles</t>
  </si>
  <si>
    <t>Sum of Tackles Won</t>
  </si>
  <si>
    <t xml:space="preserve">Sum of Tackles Def </t>
  </si>
  <si>
    <t xml:space="preserve">Sum of Tackles Mid </t>
  </si>
  <si>
    <t>Sum of Dribbles Tackled</t>
  </si>
  <si>
    <t>Sum of Tackles Lost</t>
  </si>
  <si>
    <t>Sum of Shoots Block</t>
  </si>
  <si>
    <t>Sum of Passes Block</t>
  </si>
  <si>
    <t>Sum of Interceptions</t>
  </si>
  <si>
    <t>Sum of Clearances</t>
  </si>
  <si>
    <t>Sum of Errors to shoot</t>
  </si>
  <si>
    <t>Most tackles</t>
  </si>
  <si>
    <t>Kovacic</t>
  </si>
  <si>
    <t>Sum of Tackles %</t>
  </si>
  <si>
    <t>Most tackles won</t>
  </si>
  <si>
    <t>Most tackles % (20+)</t>
  </si>
  <si>
    <t>Most tackles Def 1/3</t>
  </si>
  <si>
    <t>Most tackles Mid 1/3</t>
  </si>
  <si>
    <t>Most Dribbles tackled</t>
  </si>
  <si>
    <t>Most Tackles lost</t>
  </si>
  <si>
    <t>Most Shoots block</t>
  </si>
  <si>
    <t>Most Passes block</t>
  </si>
  <si>
    <t>R. Lewis</t>
  </si>
  <si>
    <t>Most Interceptions</t>
  </si>
  <si>
    <t>Most Clearances</t>
  </si>
  <si>
    <t>Most Errors to shoot</t>
  </si>
  <si>
    <t>Defence</t>
  </si>
  <si>
    <t>Most tackles % (40+)</t>
  </si>
  <si>
    <t>R. Dias</t>
  </si>
  <si>
    <t>J. Alvarez</t>
  </si>
  <si>
    <t xml:space="preserve">B. Silva </t>
  </si>
  <si>
    <t>K. Walker</t>
  </si>
  <si>
    <t>Defencive actions per match</t>
  </si>
  <si>
    <t>Goals against</t>
  </si>
  <si>
    <t>Penalty goal</t>
  </si>
  <si>
    <t>Freekick goal</t>
  </si>
  <si>
    <t>Corner goal</t>
  </si>
  <si>
    <t>Own goal</t>
  </si>
  <si>
    <t>Column102</t>
  </si>
  <si>
    <t>Shots on Target</t>
  </si>
  <si>
    <t>Column103</t>
  </si>
  <si>
    <t>Saves</t>
  </si>
  <si>
    <t>Completed %</t>
  </si>
  <si>
    <t>Launched  Passes completed</t>
  </si>
  <si>
    <t>Crosses faced</t>
  </si>
  <si>
    <t>Crosses stoped</t>
  </si>
  <si>
    <t>Def actions outstide PA</t>
  </si>
  <si>
    <t>Sum of Goals against</t>
  </si>
  <si>
    <t>Sum of Penalty goal</t>
  </si>
  <si>
    <t>Sum of Corner goal</t>
  </si>
  <si>
    <t>Sum of Own goal</t>
  </si>
  <si>
    <t>Sum of Shots on Target</t>
  </si>
  <si>
    <t>Sum of Saves</t>
  </si>
  <si>
    <t xml:space="preserve">Sum of Saves % </t>
  </si>
  <si>
    <t>Sum of Launched  Passes completed</t>
  </si>
  <si>
    <t>Sum of Crosses faced</t>
  </si>
  <si>
    <t>Sum of Crosses stoped</t>
  </si>
  <si>
    <t>Sum of Def actions outstide PA</t>
  </si>
  <si>
    <t xml:space="preserve">Goals Against </t>
  </si>
  <si>
    <t>Ortega</t>
  </si>
  <si>
    <t>Sum of Saves %</t>
  </si>
  <si>
    <t>Saves %</t>
  </si>
  <si>
    <t>Def Actions out PA</t>
  </si>
  <si>
    <t>Ederson played</t>
  </si>
  <si>
    <t>Ortega played</t>
  </si>
  <si>
    <t>GOALKEEPING</t>
  </si>
  <si>
    <t>Shots on Target Against</t>
  </si>
  <si>
    <t>Ederson actions per match</t>
  </si>
  <si>
    <t>Goal Against</t>
  </si>
  <si>
    <t>Shots Targ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</si>
</sst>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Aptos Narrow"/>
      <family val="2"/>
      <charset val="204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6" tint="-0.249977111117893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pivotButton="1"/>
    <xf numFmtId="0" fontId="1" fillId="3" borderId="0" xfId="0" applyFont="1" applyFill="1"/>
    <xf numFmtId="14" fontId="0" fillId="0" borderId="0" xfId="0" applyNumberFormat="1"/>
    <xf numFmtId="0" fontId="0" fillId="2" borderId="0" xfId="0" applyFill="1" applyAlignment="1">
      <alignment horizontal="left"/>
    </xf>
    <xf numFmtId="0" fontId="1" fillId="4" borderId="0" xfId="0" applyFont="1" applyFill="1"/>
    <xf numFmtId="2" fontId="0" fillId="2" borderId="0" xfId="0" applyNumberFormat="1" applyFill="1"/>
    <xf numFmtId="0" fontId="3" fillId="0" borderId="0" xfId="0" applyFont="1"/>
    <xf numFmtId="0" fontId="3" fillId="0" borderId="1" xfId="0" applyFont="1" applyBorder="1"/>
    <xf numFmtId="0" fontId="4" fillId="4" borderId="1" xfId="0" applyFont="1" applyFill="1" applyBorder="1"/>
    <xf numFmtId="2" fontId="3" fillId="0" borderId="1" xfId="0" applyNumberFormat="1" applyFont="1" applyBorder="1"/>
    <xf numFmtId="0" fontId="4" fillId="3" borderId="1" xfId="0" applyFont="1" applyFill="1" applyBorder="1"/>
    <xf numFmtId="0" fontId="5" fillId="0" borderId="1" xfId="0" applyFont="1" applyBorder="1"/>
    <xf numFmtId="0" fontId="1" fillId="5" borderId="0" xfId="0" applyFont="1" applyFill="1"/>
    <xf numFmtId="9" fontId="0" fillId="0" borderId="0" xfId="1" applyFont="1"/>
    <xf numFmtId="9" fontId="0" fillId="0" borderId="0" xfId="0" applyNumberFormat="1"/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3" fillId="4" borderId="1" xfId="0" applyFont="1" applyFill="1" applyBorder="1"/>
    <xf numFmtId="0" fontId="4" fillId="4" borderId="0" xfId="0" applyFont="1" applyFill="1"/>
    <xf numFmtId="0" fontId="0" fillId="5" borderId="0" xfId="0" applyFill="1"/>
    <xf numFmtId="2" fontId="0" fillId="5" borderId="0" xfId="0" applyNumberFormat="1" applyFill="1"/>
    <xf numFmtId="1" fontId="0" fillId="0" borderId="0" xfId="1" applyNumberFormat="1" applyFont="1"/>
    <xf numFmtId="10" fontId="0" fillId="0" borderId="0" xfId="0" applyNumberFormat="1"/>
    <xf numFmtId="0" fontId="0" fillId="0" borderId="0" xfId="0" applyAlignment="1">
      <alignment vertical="center"/>
    </xf>
    <xf numFmtId="0" fontId="9" fillId="0" borderId="0" xfId="0" applyFont="1"/>
    <xf numFmtId="0" fontId="0" fillId="7" borderId="4" xfId="0" applyFill="1" applyBorder="1"/>
    <xf numFmtId="0" fontId="0" fillId="0" borderId="4" xfId="0" applyBorder="1"/>
    <xf numFmtId="2" fontId="9" fillId="6" borderId="0" xfId="0" applyNumberFormat="1" applyFont="1" applyFill="1"/>
    <xf numFmtId="2" fontId="9" fillId="0" borderId="0" xfId="0" applyNumberFormat="1" applyFont="1"/>
    <xf numFmtId="2" fontId="9" fillId="0" borderId="3" xfId="0" applyNumberFormat="1" applyFont="1" applyBorder="1"/>
    <xf numFmtId="164" fontId="0" fillId="0" borderId="0" xfId="0" applyNumberFormat="1"/>
    <xf numFmtId="0" fontId="0" fillId="8" borderId="4" xfId="0" applyFill="1" applyBorder="1"/>
    <xf numFmtId="0" fontId="0" fillId="5" borderId="4" xfId="0" applyFill="1" applyBorder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8" fillId="5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9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8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6.xml"/><Relationship Id="rId35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Goals</a:t>
            </a:r>
            <a:r>
              <a:rPr lang="en-GB" baseline="0"/>
              <a:t> </a:t>
            </a:r>
            <a:r>
              <a:rPr lang="az-Latn-AZ" b="0" i="0">
                <a:effectLst/>
              </a:rPr>
              <a:t>comparison</a:t>
            </a:r>
          </a:p>
          <a:p>
            <a:pPr>
              <a:defRPr/>
            </a:pPr>
            <a:br>
              <a:rPr lang="az-Latn-AZ" b="0" i="0" u="none" strike="noStrike">
                <a:effectLst/>
              </a:rPr>
            </a:br>
            <a:r>
              <a:rPr lang="en-GB" baseline="0"/>
              <a:t>n</a:t>
            </a:r>
            <a:endParaRPr lang="az-Latn-AZ"/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'Compare Chart'!$B$3</c:f>
              <c:strCache>
                <c:ptCount val="1"/>
                <c:pt idx="0">
                  <c:v>24-25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666666666666664E-2"/>
                  <c:y val="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7D-49BF-95C6-0B54A5C8155B}"/>
                </c:ext>
              </c:extLst>
            </c:dLbl>
            <c:dLbl>
              <c:idx val="1"/>
              <c:layout>
                <c:manualLayout>
                  <c:x val="-5.5555555555556572E-3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7D-49BF-95C6-0B54A5C8155B}"/>
                </c:ext>
              </c:extLst>
            </c:dLbl>
            <c:dLbl>
              <c:idx val="2"/>
              <c:layout>
                <c:manualLayout>
                  <c:x val="5.2777777777777674E-2"/>
                  <c:y val="-4.16666666666668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7D-49BF-95C6-0B54A5C8155B}"/>
                </c:ext>
              </c:extLst>
            </c:dLbl>
            <c:dLbl>
              <c:idx val="3"/>
              <c:layout>
                <c:manualLayout>
                  <c:x val="2.2222222222222223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7D-49BF-95C6-0B54A5C8155B}"/>
                </c:ext>
              </c:extLst>
            </c:dLbl>
            <c:dLbl>
              <c:idx val="4"/>
              <c:layout>
                <c:manualLayout>
                  <c:x val="-2.7777777777777779E-3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77D-49BF-95C6-0B54A5C815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'Compare Chart'!$C$2:$G$2</c:f>
              <c:strCache>
                <c:ptCount val="5"/>
                <c:pt idx="0">
                  <c:v>Goals per match</c:v>
                </c:pt>
                <c:pt idx="1">
                  <c:v>Seen per match</c:v>
                </c:pt>
                <c:pt idx="2">
                  <c:v>xG per match</c:v>
                </c:pt>
                <c:pt idx="3">
                  <c:v>xGA per match</c:v>
                </c:pt>
                <c:pt idx="4">
                  <c:v>Haaland</c:v>
                </c:pt>
              </c:strCache>
            </c:strRef>
          </c:cat>
          <c:val>
            <c:numRef>
              <c:f>'Compare Chart'!$C$3:$G$3</c:f>
              <c:numCache>
                <c:formatCode>0.00</c:formatCode>
                <c:ptCount val="5"/>
                <c:pt idx="0">
                  <c:v>2</c:v>
                </c:pt>
                <c:pt idx="1">
                  <c:v>1.4583333333333333</c:v>
                </c:pt>
                <c:pt idx="2">
                  <c:v>1.84</c:v>
                </c:pt>
                <c:pt idx="3">
                  <c:v>1.42</c:v>
                </c:pt>
                <c:pt idx="4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D-49BF-95C6-0B54A5C8155B}"/>
            </c:ext>
          </c:extLst>
        </c:ser>
        <c:ser>
          <c:idx val="1"/>
          <c:order val="1"/>
          <c:tx>
            <c:strRef>
              <c:f>'Compare Chart'!$B$4</c:f>
              <c:strCache>
                <c:ptCount val="1"/>
                <c:pt idx="0">
                  <c:v>23-24</c:v>
                </c:pt>
              </c:strCache>
            </c:strRef>
          </c:tx>
          <c:spPr>
            <a:ln w="28575" cap="rnd">
              <a:solidFill>
                <a:srgbClr val="00B0F0">
                  <a:alpha val="95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666666666666664E-2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77D-49BF-95C6-0B54A5C8155B}"/>
                </c:ext>
              </c:extLst>
            </c:dLbl>
            <c:dLbl>
              <c:idx val="1"/>
              <c:layout>
                <c:manualLayout>
                  <c:x val="2.5000000000000001E-2"/>
                  <c:y val="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7D-49BF-95C6-0B54A5C8155B}"/>
                </c:ext>
              </c:extLst>
            </c:dLbl>
            <c:dLbl>
              <c:idx val="2"/>
              <c:layout>
                <c:manualLayout>
                  <c:x val="5.2777777777777674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7D-49BF-95C6-0B54A5C8155B}"/>
                </c:ext>
              </c:extLst>
            </c:dLbl>
            <c:dLbl>
              <c:idx val="3"/>
              <c:layout>
                <c:manualLayout>
                  <c:x val="8.3333333333333332E-3"/>
                  <c:y val="7.8703703703703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7D-49BF-95C6-0B54A5C8155B}"/>
                </c:ext>
              </c:extLst>
            </c:dLbl>
            <c:dLbl>
              <c:idx val="4"/>
              <c:layout>
                <c:manualLayout>
                  <c:x val="-8.3333333333333835E-3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7D-49BF-95C6-0B54A5C815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'Compare Chart'!$C$2:$G$2</c:f>
              <c:strCache>
                <c:ptCount val="5"/>
                <c:pt idx="0">
                  <c:v>Goals per match</c:v>
                </c:pt>
                <c:pt idx="1">
                  <c:v>Seen per match</c:v>
                </c:pt>
                <c:pt idx="2">
                  <c:v>xG per match</c:v>
                </c:pt>
                <c:pt idx="3">
                  <c:v>xGA per match</c:v>
                </c:pt>
                <c:pt idx="4">
                  <c:v>Haaland</c:v>
                </c:pt>
              </c:strCache>
            </c:strRef>
          </c:cat>
          <c:val>
            <c:numRef>
              <c:f>'Compare Chart'!$C$4:$G$4</c:f>
              <c:numCache>
                <c:formatCode>0.00</c:formatCode>
                <c:ptCount val="5"/>
                <c:pt idx="0">
                  <c:v>2.5263157894736841</c:v>
                </c:pt>
                <c:pt idx="1">
                  <c:v>0.89473684210526316</c:v>
                </c:pt>
                <c:pt idx="2">
                  <c:v>2.11</c:v>
                </c:pt>
                <c:pt idx="3">
                  <c:v>0.93</c:v>
                </c:pt>
                <c:pt idx="4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D-49BF-95C6-0B54A5C815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18289280"/>
        <c:axId val="518289640"/>
      </c:radarChart>
      <c:catAx>
        <c:axId val="51828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8289640"/>
        <c:crosses val="autoZero"/>
        <c:auto val="1"/>
        <c:lblAlgn val="ctr"/>
        <c:lblOffset val="100"/>
        <c:noMultiLvlLbl val="0"/>
      </c:catAx>
      <c:valAx>
        <c:axId val="5182896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18289280"/>
        <c:crosses val="autoZero"/>
        <c:crossBetween val="between"/>
      </c:valAx>
      <c:spPr>
        <a:noFill/>
        <a:ln>
          <a:noFill/>
        </a:ln>
        <a:effectLst>
          <a:glow rad="127000">
            <a:schemeClr val="bg1">
              <a:lumMod val="85000"/>
            </a:schemeClr>
          </a:glow>
        </a:effec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Passes</a:t>
            </a:r>
            <a:r>
              <a:rPr lang="en-GB" baseline="0"/>
              <a:t> comparison per match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Chart'!$B$27</c:f>
              <c:strCache>
                <c:ptCount val="1"/>
                <c:pt idx="0">
                  <c:v>24-25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Chart'!$C$26:$E$26</c:f>
              <c:strCache>
                <c:ptCount val="3"/>
                <c:pt idx="0">
                  <c:v>Comp pass pm</c:v>
                </c:pt>
                <c:pt idx="1">
                  <c:v>Comp short pass pm</c:v>
                </c:pt>
                <c:pt idx="2">
                  <c:v>Comp long pass pm</c:v>
                </c:pt>
              </c:strCache>
            </c:strRef>
          </c:cat>
          <c:val>
            <c:numRef>
              <c:f>'Compare Chart'!$C$27:$E$27</c:f>
              <c:numCache>
                <c:formatCode>0.00</c:formatCode>
                <c:ptCount val="3"/>
                <c:pt idx="0">
                  <c:v>65.86</c:v>
                </c:pt>
                <c:pt idx="1">
                  <c:v>34.65</c:v>
                </c:pt>
                <c:pt idx="2">
                  <c:v>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B-4A75-A653-3E4C49614198}"/>
            </c:ext>
          </c:extLst>
        </c:ser>
        <c:ser>
          <c:idx val="1"/>
          <c:order val="1"/>
          <c:tx>
            <c:strRef>
              <c:f>'Compare Chart'!$B$28</c:f>
              <c:strCache>
                <c:ptCount val="1"/>
                <c:pt idx="0">
                  <c:v>23-24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Chart'!$C$26:$E$26</c:f>
              <c:strCache>
                <c:ptCount val="3"/>
                <c:pt idx="0">
                  <c:v>Comp pass pm</c:v>
                </c:pt>
                <c:pt idx="1">
                  <c:v>Comp short pass pm</c:v>
                </c:pt>
                <c:pt idx="2">
                  <c:v>Comp long pass pm</c:v>
                </c:pt>
              </c:strCache>
            </c:strRef>
          </c:cat>
          <c:val>
            <c:numRef>
              <c:f>'Compare Chart'!$C$28:$E$28</c:f>
              <c:numCache>
                <c:formatCode>0.00</c:formatCode>
                <c:ptCount val="3"/>
                <c:pt idx="0">
                  <c:v>98.97</c:v>
                </c:pt>
                <c:pt idx="1">
                  <c:v>49.29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B-4A75-A653-3E4C496141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4269688"/>
        <c:axId val="504270048"/>
      </c:barChart>
      <c:catAx>
        <c:axId val="504269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4270048"/>
        <c:crosses val="autoZero"/>
        <c:auto val="1"/>
        <c:lblAlgn val="ctr"/>
        <c:lblOffset val="100"/>
        <c:noMultiLvlLbl val="0"/>
      </c:catAx>
      <c:valAx>
        <c:axId val="5042700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4269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/>
              <a:t>Most key passes per match</a:t>
            </a:r>
          </a:p>
        </c:rich>
      </c:tx>
      <c:layout>
        <c:manualLayout>
          <c:xMode val="edge"/>
          <c:yMode val="edge"/>
          <c:x val="0.24775252364118991"/>
          <c:y val="5.9673650911491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Chart'!$C$53</c:f>
              <c:strCache>
                <c:ptCount val="1"/>
                <c:pt idx="0">
                  <c:v>24-25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Chart'!$B$54:$B$57</c:f>
              <c:strCache>
                <c:ptCount val="4"/>
                <c:pt idx="0">
                  <c:v>Foden</c:v>
                </c:pt>
                <c:pt idx="1">
                  <c:v>Alvarez</c:v>
                </c:pt>
                <c:pt idx="2">
                  <c:v>B. Silva</c:v>
                </c:pt>
                <c:pt idx="3">
                  <c:v>De Bruyne</c:v>
                </c:pt>
              </c:strCache>
            </c:strRef>
          </c:cat>
          <c:val>
            <c:numRef>
              <c:f>'Compare Chart'!$C$54:$C$57</c:f>
              <c:numCache>
                <c:formatCode>General</c:formatCode>
                <c:ptCount val="4"/>
                <c:pt idx="0">
                  <c:v>1.84</c:v>
                </c:pt>
                <c:pt idx="1">
                  <c:v>0</c:v>
                </c:pt>
                <c:pt idx="2" formatCode="0.00">
                  <c:v>1.65</c:v>
                </c:pt>
                <c:pt idx="3" formatCode="0.00">
                  <c:v>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2-42AD-8C46-61E1F832C94C}"/>
            </c:ext>
          </c:extLst>
        </c:ser>
        <c:ser>
          <c:idx val="1"/>
          <c:order val="1"/>
          <c:tx>
            <c:strRef>
              <c:f>'Compare Chart'!$D$53</c:f>
              <c:strCache>
                <c:ptCount val="1"/>
                <c:pt idx="0">
                  <c:v>23-24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Chart'!$B$54:$B$57</c:f>
              <c:strCache>
                <c:ptCount val="4"/>
                <c:pt idx="0">
                  <c:v>Foden</c:v>
                </c:pt>
                <c:pt idx="1">
                  <c:v>Alvarez</c:v>
                </c:pt>
                <c:pt idx="2">
                  <c:v>B. Silva</c:v>
                </c:pt>
                <c:pt idx="3">
                  <c:v>De Bruyne</c:v>
                </c:pt>
              </c:strCache>
            </c:strRef>
          </c:cat>
          <c:val>
            <c:numRef>
              <c:f>'Compare Chart'!$D$54:$D$57</c:f>
              <c:numCache>
                <c:formatCode>0.00</c:formatCode>
                <c:ptCount val="4"/>
                <c:pt idx="0">
                  <c:v>2.08</c:v>
                </c:pt>
                <c:pt idx="1">
                  <c:v>1.86</c:v>
                </c:pt>
                <c:pt idx="2">
                  <c:v>1.93</c:v>
                </c:pt>
                <c:pt idx="3">
                  <c:v>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2-42AD-8C46-61E1F832C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7125944"/>
        <c:axId val="507128104"/>
      </c:barChart>
      <c:catAx>
        <c:axId val="50712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7128104"/>
        <c:crosses val="autoZero"/>
        <c:auto val="1"/>
        <c:lblAlgn val="ctr"/>
        <c:lblOffset val="100"/>
        <c:noMultiLvlLbl val="0"/>
      </c:catAx>
      <c:valAx>
        <c:axId val="5071281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50712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437933102770592"/>
          <c:y val="0.1586388181797892"/>
          <c:w val="0.27253538202376248"/>
          <c:h val="5.54782878360901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/>
              <a:t>Defenc</a:t>
            </a:r>
            <a:r>
              <a:rPr lang="en-GB"/>
              <a:t>I</a:t>
            </a:r>
            <a:r>
              <a:rPr lang="az-Latn-AZ"/>
              <a:t>ve act</a:t>
            </a:r>
            <a:r>
              <a:rPr lang="en-GB"/>
              <a:t>I</a:t>
            </a:r>
            <a:r>
              <a:rPr lang="az-Latn-AZ"/>
              <a:t>ons per match</a:t>
            </a:r>
            <a:endParaRPr lang="en-GB"/>
          </a:p>
        </c:rich>
      </c:tx>
      <c:layout>
        <c:manualLayout>
          <c:xMode val="edge"/>
          <c:yMode val="edge"/>
          <c:x val="0.24775252364118991"/>
          <c:y val="5.9673650911491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Chart'!$C$85</c:f>
              <c:strCache>
                <c:ptCount val="1"/>
                <c:pt idx="0">
                  <c:v>24-25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Chart'!$B$86:$B$90</c:f>
              <c:strCache>
                <c:ptCount val="5"/>
                <c:pt idx="0">
                  <c:v>Tackles</c:v>
                </c:pt>
                <c:pt idx="1">
                  <c:v>Tackles Won</c:v>
                </c:pt>
                <c:pt idx="2">
                  <c:v>Blocks</c:v>
                </c:pt>
                <c:pt idx="3">
                  <c:v>Interceptions</c:v>
                </c:pt>
                <c:pt idx="4">
                  <c:v>Clearances</c:v>
                </c:pt>
              </c:strCache>
            </c:strRef>
          </c:cat>
          <c:val>
            <c:numRef>
              <c:f>'Compare Chart'!$C$86:$C$90</c:f>
              <c:numCache>
                <c:formatCode>0.00</c:formatCode>
                <c:ptCount val="5"/>
                <c:pt idx="0">
                  <c:v>13.125</c:v>
                </c:pt>
                <c:pt idx="1">
                  <c:v>7.958333333333333</c:v>
                </c:pt>
                <c:pt idx="2">
                  <c:v>8.625</c:v>
                </c:pt>
                <c:pt idx="3">
                  <c:v>6.041666666666667</c:v>
                </c:pt>
                <c:pt idx="4">
                  <c:v>15.291666666666666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2-42AD-8C46-61E1F832C94C}"/>
            </c:ext>
          </c:extLst>
        </c:ser>
        <c:ser>
          <c:idx val="1"/>
          <c:order val="1"/>
          <c:tx>
            <c:strRef>
              <c:f>'Compare Chart'!$D$85</c:f>
              <c:strCache>
                <c:ptCount val="1"/>
                <c:pt idx="0">
                  <c:v>23-24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Chart'!$B$86:$B$90</c:f>
              <c:strCache>
                <c:ptCount val="5"/>
                <c:pt idx="0">
                  <c:v>Tackles</c:v>
                </c:pt>
                <c:pt idx="1">
                  <c:v>Tackles Won</c:v>
                </c:pt>
                <c:pt idx="2">
                  <c:v>Blocks</c:v>
                </c:pt>
                <c:pt idx="3">
                  <c:v>Interceptions</c:v>
                </c:pt>
                <c:pt idx="4">
                  <c:v>Clearances</c:v>
                </c:pt>
              </c:strCache>
            </c:strRef>
          </c:cat>
          <c:val>
            <c:numRef>
              <c:f>'Compare Chart'!$D$86:$D$90</c:f>
              <c:numCache>
                <c:formatCode>0.00</c:formatCode>
                <c:ptCount val="5"/>
                <c:pt idx="0">
                  <c:v>13.605263157894736</c:v>
                </c:pt>
                <c:pt idx="1">
                  <c:v>8.026315789473685</c:v>
                </c:pt>
                <c:pt idx="2">
                  <c:v>9.2894736842105257</c:v>
                </c:pt>
                <c:pt idx="3">
                  <c:v>6.1315789473684212</c:v>
                </c:pt>
                <c:pt idx="4">
                  <c:v>12.026315789473685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2-42AD-8C46-61E1F832C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7125944"/>
        <c:axId val="507128104"/>
      </c:barChart>
      <c:catAx>
        <c:axId val="50712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7128104"/>
        <c:crosses val="autoZero"/>
        <c:auto val="1"/>
        <c:lblAlgn val="ctr"/>
        <c:lblOffset val="100"/>
        <c:noMultiLvlLbl val="0"/>
      </c:catAx>
      <c:valAx>
        <c:axId val="5071281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0.00" sourceLinked="1"/>
        <c:majorTickMark val="none"/>
        <c:minorTickMark val="none"/>
        <c:tickLblPos val="nextTo"/>
        <c:crossAx val="50712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437933102770592"/>
          <c:y val="0.1586388181797892"/>
          <c:w val="0.27253538202376248"/>
          <c:h val="5.54782878360901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/>
              <a:t>Ederson act</a:t>
            </a:r>
            <a:r>
              <a:rPr lang="en-GB"/>
              <a:t>I</a:t>
            </a:r>
            <a:r>
              <a:rPr lang="az-Latn-AZ"/>
              <a:t>ons per match</a:t>
            </a:r>
            <a:endParaRPr lang="en-GB"/>
          </a:p>
          <a:p>
            <a:pPr>
              <a:defRPr/>
            </a:pPr>
            <a:endParaRPr lang="az-Latn-AZ"/>
          </a:p>
        </c:rich>
      </c:tx>
      <c:layout>
        <c:manualLayout>
          <c:xMode val="edge"/>
          <c:yMode val="edge"/>
          <c:x val="0.24775252364118991"/>
          <c:y val="5.9673650911491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Chart'!$C$118</c:f>
              <c:strCache>
                <c:ptCount val="1"/>
                <c:pt idx="0">
                  <c:v>24-25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Chart'!$B$119:$B$123</c:f>
              <c:strCache>
                <c:ptCount val="5"/>
                <c:pt idx="0">
                  <c:v>Goal Against</c:v>
                </c:pt>
                <c:pt idx="1">
                  <c:v>Shots Targ Ag</c:v>
                </c:pt>
                <c:pt idx="2">
                  <c:v>Saves</c:v>
                </c:pt>
                <c:pt idx="3">
                  <c:v>PSxG</c:v>
                </c:pt>
                <c:pt idx="4">
                  <c:v>Def Actions out PA</c:v>
                </c:pt>
              </c:strCache>
            </c:strRef>
          </c:cat>
          <c:val>
            <c:numRef>
              <c:f>'Compare Chart'!$C$119:$C$123</c:f>
              <c:numCache>
                <c:formatCode>0.00</c:formatCode>
                <c:ptCount val="5"/>
                <c:pt idx="0">
                  <c:v>1.33</c:v>
                </c:pt>
                <c:pt idx="1">
                  <c:v>3.67</c:v>
                </c:pt>
                <c:pt idx="2">
                  <c:v>2.13</c:v>
                </c:pt>
                <c:pt idx="3">
                  <c:v>1.43</c:v>
                </c:pt>
                <c:pt idx="4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2-42AD-8C46-61E1F832C94C}"/>
            </c:ext>
          </c:extLst>
        </c:ser>
        <c:ser>
          <c:idx val="1"/>
          <c:order val="1"/>
          <c:tx>
            <c:strRef>
              <c:f>'Compare Chart'!$D$118</c:f>
              <c:strCache>
                <c:ptCount val="1"/>
                <c:pt idx="0">
                  <c:v>23-24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Chart'!$B$119:$B$123</c:f>
              <c:strCache>
                <c:ptCount val="5"/>
                <c:pt idx="0">
                  <c:v>Goal Against</c:v>
                </c:pt>
                <c:pt idx="1">
                  <c:v>Shots Targ Ag</c:v>
                </c:pt>
                <c:pt idx="2">
                  <c:v>Saves</c:v>
                </c:pt>
                <c:pt idx="3">
                  <c:v>PSxG</c:v>
                </c:pt>
                <c:pt idx="4">
                  <c:v>Def Actions out PA</c:v>
                </c:pt>
              </c:strCache>
            </c:strRef>
          </c:cat>
          <c:val>
            <c:numRef>
              <c:f>'Compare Chart'!$D$119:$D$123</c:f>
              <c:numCache>
                <c:formatCode>0.00</c:formatCode>
                <c:ptCount val="5"/>
                <c:pt idx="0">
                  <c:v>0.82</c:v>
                </c:pt>
                <c:pt idx="1">
                  <c:v>2.48</c:v>
                </c:pt>
                <c:pt idx="2">
                  <c:v>1.7</c:v>
                </c:pt>
                <c:pt idx="3">
                  <c:v>0.82</c:v>
                </c:pt>
                <c:pt idx="4">
                  <c:v>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2-42AD-8C46-61E1F832C9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7125944"/>
        <c:axId val="507128104"/>
      </c:barChart>
      <c:catAx>
        <c:axId val="50712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7128104"/>
        <c:crosses val="autoZero"/>
        <c:auto val="1"/>
        <c:lblAlgn val="ctr"/>
        <c:lblOffset val="100"/>
        <c:noMultiLvlLbl val="0"/>
      </c:catAx>
      <c:valAx>
        <c:axId val="5071281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0.00" sourceLinked="1"/>
        <c:majorTickMark val="none"/>
        <c:minorTickMark val="none"/>
        <c:tickLblPos val="nextTo"/>
        <c:crossAx val="50712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437933102770592"/>
          <c:y val="0.1586388181797892"/>
          <c:w val="0.27253538202376248"/>
          <c:h val="5.54782878360901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</xdr:row>
      <xdr:rowOff>171450</xdr:rowOff>
    </xdr:from>
    <xdr:to>
      <xdr:col>7</xdr:col>
      <xdr:colOff>390525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77A19-37C8-50EB-4F2F-51243300D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283029</xdr:colOff>
      <xdr:row>30</xdr:row>
      <xdr:rowOff>2040</xdr:rowOff>
    </xdr:from>
    <xdr:to>
      <xdr:col>7</xdr:col>
      <xdr:colOff>435429</xdr:colOff>
      <xdr:row>47</xdr:row>
      <xdr:rowOff>160563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2212CE-7DCA-06AF-8233-7A4CC7D6C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28574</xdr:colOff>
      <xdr:row>58</xdr:row>
      <xdr:rowOff>33337</xdr:rowOff>
    </xdr:from>
    <xdr:to>
      <xdr:col>8</xdr:col>
      <xdr:colOff>152399</xdr:colOff>
      <xdr:row>76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3D4CE5-D238-42F5-DB01-A4F3DF6A5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92</xdr:row>
      <xdr:rowOff>144916</xdr:rowOff>
    </xdr:from>
    <xdr:to>
      <xdr:col>8</xdr:col>
      <xdr:colOff>176893</xdr:colOff>
      <xdr:row>112</xdr:row>
      <xdr:rowOff>40821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1BB1D7-D3AD-912D-ADE3-0E2E57247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14286</xdr:colOff>
      <xdr:row>124</xdr:row>
      <xdr:rowOff>109536</xdr:rowOff>
    </xdr:from>
    <xdr:to>
      <xdr:col>6</xdr:col>
      <xdr:colOff>581024</xdr:colOff>
      <xdr:row>141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87CDB1-BE0C-5A78-0422-9FD45368A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03.134331250003" createdVersion="8" refreshedVersion="8" minRefreshableVersion="3" recordCount="33" xr:uid="{8EF24BA4-40B7-4C81-B945-8EA946F28B6D}">
  <cacheSource type="worksheet">
    <worksheetSource ref="A3:AB36" sheet="24-25 City standart stats"/>
  </cacheSource>
  <cacheFields count="30">
    <cacheField name="Player" numFmtId="0">
      <sharedItems count="33">
        <s v="Erling Haaland"/>
        <s v="Joško Gvardiol"/>
        <s v="Bernardo Silva"/>
        <s v="Manuel Akanji"/>
        <s v="Mateo Kovačić"/>
        <s v="Rico Lewis"/>
        <s v="Phil Foden"/>
        <s v="Ederson"/>
        <s v="İlkay Gündoğan"/>
        <s v="Sávio"/>
        <s v="Rúben Dias"/>
        <s v="Kevin De Bruyne"/>
        <s v="Matheus Nunes"/>
        <s v="Kyle Walker"/>
        <s v="Stefan Ortega"/>
        <s v="Jeremy Doku"/>
        <s v="Nathan Aké"/>
        <s v="Jack Grealish"/>
        <s v="John Stones"/>
        <s v="Omar Marmoush"/>
        <s v="Jahmai Simpson-Pusey"/>
        <s v="Rodri"/>
        <s v="Abdukodir Khusanov"/>
        <s v="James Mcatee"/>
        <s v="Divin Mubama"/>
        <s v="Nico O’Reilly"/>
        <s v="Max Alleyne"/>
        <s v="Thorsten Brits"/>
        <s v="Scott Carson"/>
        <s v="Issa Kaboré"/>
        <s v="Vitor Reis"/>
        <s v="Josh Wilson-Esbrand"/>
        <s v="Jacob Wright"/>
      </sharedItems>
    </cacheField>
    <cacheField name="Nation" numFmtId="0">
      <sharedItems/>
    </cacheField>
    <cacheField name="Pos" numFmtId="0">
      <sharedItems count="7">
        <s v="FW"/>
        <s v="DF"/>
        <s v="MF,FW"/>
        <s v="MF"/>
        <s v="DF,MF"/>
        <s v="GK"/>
        <s v="FW,MF"/>
      </sharedItems>
    </cacheField>
    <cacheField name="Age" numFmtId="0">
      <sharedItems containsSemiMixedTypes="0" containsString="0" containsNumber="1" containsInteger="1" minValue="17" maxValue="39"/>
    </cacheField>
    <cacheField name="Matches" numFmtId="0">
      <sharedItems containsSemiMixedTypes="0" containsString="0" containsNumber="1" containsInteger="1" minValue="0" maxValue="24"/>
    </cacheField>
    <cacheField name="Starts" numFmtId="0">
      <sharedItems containsSemiMixedTypes="0" containsString="0" containsNumber="1" containsInteger="1" minValue="0" maxValue="24"/>
    </cacheField>
    <cacheField name="Min" numFmtId="0">
      <sharedItems containsMixedTypes="1" containsNumber="1" minValue="1.0109999999999999" maxValue="970"/>
    </cacheField>
    <cacheField name="90s" numFmtId="0">
      <sharedItems/>
    </cacheField>
    <cacheField name="Goals" numFmtId="0">
      <sharedItems containsMixedTypes="1" containsNumber="1" containsInteger="1" minValue="0" maxValue="19" count="9">
        <n v="19"/>
        <n v="5"/>
        <n v="2"/>
        <n v="0"/>
        <n v="4"/>
        <n v="1"/>
        <n v="7"/>
        <n v="3"/>
        <s v=""/>
      </sharedItems>
    </cacheField>
    <cacheField name="Assists" numFmtId="0">
      <sharedItems containsMixedTypes="1" containsNumber="1" containsInteger="1" minValue="0" maxValue="6"/>
    </cacheField>
    <cacheField name="G+A" numFmtId="0">
      <sharedItems containsString="0" containsBlank="1" containsNumber="1" containsInteger="1" minValue="0" maxValue="21"/>
    </cacheField>
    <cacheField name="Goals-PK" numFmtId="0">
      <sharedItems containsString="0" containsBlank="1" containsNumber="1" containsInteger="1" minValue="0" maxValue="18"/>
    </cacheField>
    <cacheField name="PK" numFmtId="0">
      <sharedItems containsString="0" containsBlank="1" containsNumber="1" containsInteger="1" minValue="0" maxValue="1"/>
    </cacheField>
    <cacheField name="PK attemp" numFmtId="0">
      <sharedItems containsString="0" containsBlank="1" containsNumber="1" containsInteger="1" minValue="0" maxValue="2"/>
    </cacheField>
    <cacheField name="Crd Yellow" numFmtId="0">
      <sharedItems containsString="0" containsBlank="1" containsNumber="1" containsInteger="1" minValue="0" maxValue="5"/>
    </cacheField>
    <cacheField name="Crd Red" numFmtId="0">
      <sharedItems containsString="0" containsBlank="1" containsNumber="1" containsInteger="1" minValue="0" maxValue="1"/>
    </cacheField>
    <cacheField name="xG" numFmtId="2">
      <sharedItems/>
    </cacheField>
    <cacheField name="Goals-PK xG" numFmtId="2">
      <sharedItems/>
    </cacheField>
    <cacheField name="xAG" numFmtId="2">
      <sharedItems/>
    </cacheField>
    <cacheField name="Prg Carries" numFmtId="0">
      <sharedItems containsString="0" containsBlank="1" containsNumber="1" containsInteger="1" minValue="0" maxValue="104"/>
    </cacheField>
    <cacheField name="Prg Passes" numFmtId="0">
      <sharedItems containsString="0" containsBlank="1" containsNumber="1" containsInteger="1" minValue="0" maxValue="163"/>
    </cacheField>
    <cacheField name="Prg Pass Receive" numFmtId="0">
      <sharedItems containsString="0" containsBlank="1" containsNumber="1" containsInteger="1" minValue="0" maxValue="156"/>
    </cacheField>
    <cacheField name="Goals2" numFmtId="0">
      <sharedItems/>
    </cacheField>
    <cacheField name="Assist" numFmtId="0">
      <sharedItems/>
    </cacheField>
    <cacheField name="G+A2" numFmtId="0">
      <sharedItems/>
    </cacheField>
    <cacheField name="Goals-PK2" numFmtId="0">
      <sharedItems/>
    </cacheField>
    <cacheField name="xG2" numFmtId="0">
      <sharedItems/>
    </cacheField>
    <cacheField name="xAG2" numFmtId="0">
      <sharedItems/>
    </cacheField>
    <cacheField name="GolAsist" numFmtId="0" formula="Goals+Assists" databaseField="0"/>
    <cacheField name="Goalpermatch" numFmtId="0" formula="Goals/Match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05.849514351852" createdVersion="8" refreshedVersion="8" minRefreshableVersion="3" recordCount="30" xr:uid="{C8D2698C-164E-42C6-9C9C-78E8233CA00A}">
  <cacheSource type="worksheet">
    <worksheetSource ref="A3:AB33" sheet="23-24 City standart stats"/>
  </cacheSource>
  <cacheFields count="31">
    <cacheField name="Player" numFmtId="0">
      <sharedItems count="30">
        <s v="Rodri"/>
        <s v="Phil Foden"/>
        <s v="Ederson"/>
        <s v="Julián Álvarez"/>
        <s v="Kyle Walker"/>
        <s v="Bernardo Silva"/>
        <s v="Erling Haaland"/>
        <s v="Rúben Dias"/>
        <s v="Manuel Akanji"/>
        <s v="Joško Gvardiol"/>
        <s v="Nathan Aké"/>
        <s v="Jeremy Doku"/>
        <s v="Mateo Kovačić"/>
        <s v="Kevin De Bruyne"/>
        <s v="John Stones"/>
        <s v="Jack Grealish"/>
        <s v="Rico Lewis"/>
        <s v="Matheus Nunes"/>
        <s v="Stefan Ortega"/>
        <s v="Oscar Bobb"/>
        <s v="Kalvin Phillips"/>
        <s v="Sergio Gómez"/>
        <s v="Aymeric Laporte"/>
        <s v="Cole Palmer"/>
        <s v="James Mcatee"/>
        <s v="Scott Carson"/>
        <s v="Micah Hamilton"/>
        <s v="Máximo Perrone"/>
        <s v="Mahamadou Susoho"/>
        <s v="Jacob Wright"/>
      </sharedItems>
    </cacheField>
    <cacheField name="Nation" numFmtId="0">
      <sharedItems/>
    </cacheField>
    <cacheField name="Pos" numFmtId="0">
      <sharedItems count="7">
        <s v="MF"/>
        <s v="FW,MF"/>
        <s v="GK"/>
        <s v="MF,FW"/>
        <s v="DF"/>
        <s v="FW"/>
        <s v="DF,MF"/>
      </sharedItems>
    </cacheField>
    <cacheField name="Age" numFmtId="0">
      <sharedItems/>
    </cacheField>
    <cacheField name="Matches" numFmtId="0">
      <sharedItems containsSemiMixedTypes="0" containsString="0" containsNumber="1" containsInteger="1" minValue="0" maxValue="36"/>
    </cacheField>
    <cacheField name="Starts" numFmtId="0">
      <sharedItems containsSemiMixedTypes="0" containsString="0" containsNumber="1" containsInteger="1" minValue="0" maxValue="34"/>
    </cacheField>
    <cacheField name="Min" numFmtId="0">
      <sharedItems containsMixedTypes="1" containsNumber="1" minValue="1" maxValue="809"/>
    </cacheField>
    <cacheField name="90s" numFmtId="0">
      <sharedItems/>
    </cacheField>
    <cacheField name="Goals" numFmtId="0">
      <sharedItems containsString="0" containsBlank="1" containsNumber="1" containsInteger="1" minValue="0" maxValue="27"/>
    </cacheField>
    <cacheField name="Assists" numFmtId="0">
      <sharedItems containsString="0" containsBlank="1" containsNumber="1" containsInteger="1" minValue="0" maxValue="10"/>
    </cacheField>
    <cacheField name="G+A" numFmtId="0">
      <sharedItems/>
    </cacheField>
    <cacheField name="Goals-PK" numFmtId="0">
      <sharedItems/>
    </cacheField>
    <cacheField name="PK" numFmtId="0">
      <sharedItems/>
    </cacheField>
    <cacheField name="PK attemp" numFmtId="0">
      <sharedItems/>
    </cacheField>
    <cacheField name="Crd Yellow" numFmtId="0">
      <sharedItems/>
    </cacheField>
    <cacheField name="Crd Red" numFmtId="0">
      <sharedItems/>
    </cacheField>
    <cacheField name="xG" numFmtId="0">
      <sharedItems/>
    </cacheField>
    <cacheField name="Goals-PK xG" numFmtId="0">
      <sharedItems/>
    </cacheField>
    <cacheField name="xAG" numFmtId="0">
      <sharedItems/>
    </cacheField>
    <cacheField name="Prg Carries" numFmtId="0">
      <sharedItems containsString="0" containsBlank="1" containsNumber="1" containsInteger="1" minValue="0" maxValue="218"/>
    </cacheField>
    <cacheField name="Prg Passes" numFmtId="0">
      <sharedItems containsMixedTypes="1" containsNumber="1" containsInteger="1" minValue="0" maxValue="376"/>
    </cacheField>
    <cacheField name="Prg Pass Receive" numFmtId="0">
      <sharedItems/>
    </cacheField>
    <cacheField name="Goals2" numFmtId="0">
      <sharedItems/>
    </cacheField>
    <cacheField name="Assists2" numFmtId="0">
      <sharedItems/>
    </cacheField>
    <cacheField name="G+A2" numFmtId="0">
      <sharedItems/>
    </cacheField>
    <cacheField name="Goals-PK2" numFmtId="0">
      <sharedItems/>
    </cacheField>
    <cacheField name="xG2" numFmtId="0">
      <sharedItems/>
    </cacheField>
    <cacheField name="xAG2" numFmtId="0">
      <sharedItems/>
    </cacheField>
    <cacheField name="SumofGoalAssist" numFmtId="0" formula="Goals+Assists" databaseField="0"/>
    <cacheField name="Goal per matc" numFmtId="0" formula="Matches/Goals" databaseField="0"/>
    <cacheField name="Goalpermat" numFmtId="0" formula="Goals/Match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10.042631597222" createdVersion="8" refreshedVersion="8" minRefreshableVersion="3" recordCount="26" xr:uid="{F24F1EE1-E26E-4C30-B56C-3C48F1E84FED}">
  <cacheSource type="worksheet">
    <worksheetSource ref="A3:S29" sheet="24-25 Passes"/>
  </cacheSource>
  <cacheFields count="22">
    <cacheField name="Player" numFmtId="0">
      <sharedItems count="26">
        <s v="Erling Haaland"/>
        <s v="Joško Gvardiol"/>
        <s v="Bernardo Silva"/>
        <s v="Manuel Akanji"/>
        <s v="Mateo Kovačić"/>
        <s v="Rico Lewis"/>
        <s v="Phil Foden"/>
        <s v="Ederson"/>
        <s v="İlkay Gündoğan"/>
        <s v="Sávio"/>
        <s v="Rúben Dias"/>
        <s v="Kevin De Bruyne"/>
        <s v="Matheus Nunes"/>
        <s v="Kyle Walker"/>
        <s v="Stefan Ortega"/>
        <s v="Jeremy Doku"/>
        <s v="Nathan Aké"/>
        <s v="Jack Grealish"/>
        <s v="John Stones"/>
        <s v="Omar Marmoush"/>
        <s v="Jahmai Simpson-Pusey"/>
        <s v="Rodri"/>
        <s v="Abdukodir Khusanov"/>
        <s v="James Mcatee"/>
        <s v="Divin Mubama"/>
        <s v="Nico O’Reilly"/>
      </sharedItems>
    </cacheField>
    <cacheField name="Nation" numFmtId="0">
      <sharedItems/>
    </cacheField>
    <cacheField name="Pos" numFmtId="0">
      <sharedItems count="7">
        <s v="FW"/>
        <s v="DF"/>
        <s v="MF,FW"/>
        <s v="MF"/>
        <s v="DF,MF"/>
        <s v="GK"/>
        <s v="FW,MF"/>
      </sharedItems>
    </cacheField>
    <cacheField name="completed" numFmtId="0">
      <sharedItems containsSemiMixedTypes="0" containsString="0" containsNumber="1" containsInteger="1" minValue="2" maxValue="1515"/>
    </cacheField>
    <cacheField name="attempted" numFmtId="0">
      <sharedItems containsSemiMixedTypes="0" containsString="0" containsNumber="1" containsInteger="1" minValue="3" maxValue="1669"/>
    </cacheField>
    <cacheField name="distance" numFmtId="0">
      <sharedItems containsSemiMixedTypes="0" containsString="0" containsNumber="1" containsInteger="1" minValue="44" maxValue="23609"/>
    </cacheField>
    <cacheField name="completed2" numFmtId="0">
      <sharedItems containsSemiMixedTypes="0" containsString="0" containsNumber="1" containsInteger="1" minValue="1" maxValue="797"/>
    </cacheField>
    <cacheField name="attempted2" numFmtId="0">
      <sharedItems containsSemiMixedTypes="0" containsString="0" containsNumber="1" containsInteger="1" minValue="1" maxValue="845"/>
    </cacheField>
    <cacheField name="completed3" numFmtId="0">
      <sharedItems containsSemiMixedTypes="0" containsString="0" containsNumber="1" containsInteger="1" minValue="0" maxValue="647"/>
    </cacheField>
    <cacheField name="attempted3" numFmtId="0">
      <sharedItems containsSemiMixedTypes="0" containsString="0" containsNumber="1" containsInteger="1" minValue="0" maxValue="699"/>
    </cacheField>
    <cacheField name="completed4" numFmtId="0">
      <sharedItems containsSemiMixedTypes="0" containsString="0" containsNumber="1" containsInteger="1" minValue="0" maxValue="112"/>
    </cacheField>
    <cacheField name="attempted4" numFmtId="0">
      <sharedItems containsSemiMixedTypes="0" containsString="0" containsNumber="1" containsInteger="1" minValue="0" maxValue="182"/>
    </cacheField>
    <cacheField name="asists" numFmtId="0">
      <sharedItems containsSemiMixedTypes="0" containsString="0" containsNumber="1" containsInteger="1" minValue="0" maxValue="6"/>
    </cacheField>
    <cacheField name="xA" numFmtId="2">
      <sharedItems/>
    </cacheField>
    <cacheField name="key passes" numFmtId="0">
      <sharedItems containsSemiMixedTypes="0" containsString="0" containsNumber="1" containsInteger="1" minValue="0" maxValue="39"/>
    </cacheField>
    <cacheField name="pass to 1/3" numFmtId="0">
      <sharedItems containsSemiMixedTypes="0" containsString="0" containsNumber="1" containsInteger="1" minValue="0" maxValue="149"/>
    </cacheField>
    <cacheField name="passes to PA" numFmtId="0">
      <sharedItems containsSemiMixedTypes="0" containsString="0" containsNumber="1" containsInteger="1" minValue="0" maxValue="42"/>
    </cacheField>
    <cacheField name="cross to PA" numFmtId="0">
      <sharedItems containsSemiMixedTypes="0" containsString="0" containsNumber="1" containsInteger="1" minValue="0" maxValue="8"/>
    </cacheField>
    <cacheField name="Prog passes" numFmtId="0">
      <sharedItems containsSemiMixedTypes="0" containsString="0" containsNumber="1" containsInteger="1" minValue="0" maxValue="163"/>
    </cacheField>
    <cacheField name="Passes %" numFmtId="0" formula="completed/attempted" databaseField="0"/>
    <cacheField name="Long passes %" numFmtId="0" formula="completed4/attempted4" databaseField="0"/>
    <cacheField name="Short passes %" numFmtId="0" formula="completed2/attempted2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11.729903935186" createdVersion="8" refreshedVersion="8" minRefreshableVersion="3" recordCount="25" xr:uid="{B0AF048F-A2F0-4A19-91F4-2CB7959ADF42}">
  <cacheSource type="worksheet">
    <worksheetSource ref="A3:S28" sheet="23-24 Passes"/>
  </cacheSource>
  <cacheFields count="22">
    <cacheField name="Player" numFmtId="0">
      <sharedItems count="25">
        <s v="Rodri"/>
        <s v="Phil Foden"/>
        <s v="Ederson"/>
        <s v="Julián Álvarez"/>
        <s v="Kyle Walker"/>
        <s v="Bernardo Silva"/>
        <s v="Erling Haaland"/>
        <s v="Rúben Dias"/>
        <s v="Manuel Akanji"/>
        <s v="Joško Gvardiol"/>
        <s v="Nathan Aké"/>
        <s v="Jeremy Doku"/>
        <s v="Mateo Kovačić"/>
        <s v="Kevin De Bruyne"/>
        <s v="John Stones"/>
        <s v="Jack Grealish"/>
        <s v="Rico Lewis"/>
        <s v="Matheus Nunes"/>
        <s v="Stefan Ortega"/>
        <s v="Oscar Bobb"/>
        <s v="Kalvin Phillips"/>
        <s v="Sergio Gómez"/>
        <s v="Aymeric Laporte"/>
        <s v="Cole Palmer"/>
        <s v="James Mcatee"/>
      </sharedItems>
    </cacheField>
    <cacheField name="Nation" numFmtId="0">
      <sharedItems/>
    </cacheField>
    <cacheField name="Pos" numFmtId="0">
      <sharedItems count="7">
        <s v="MF"/>
        <s v="FW,MF"/>
        <s v="GK"/>
        <s v="MF,FW"/>
        <s v="DF"/>
        <s v="FW"/>
        <s v="DF,MF"/>
      </sharedItems>
    </cacheField>
    <cacheField name="completed" numFmtId="0">
      <sharedItems containsSemiMixedTypes="0" containsString="0" containsNumber="1" containsInteger="1" minValue="0" maxValue="3365"/>
    </cacheField>
    <cacheField name="attempted" numFmtId="0">
      <sharedItems containsSemiMixedTypes="0" containsString="0" containsNumber="1" containsInteger="1" minValue="0" maxValue="3656"/>
    </cacheField>
    <cacheField name="distance" numFmtId="0">
      <sharedItems containsSemiMixedTypes="0" containsString="0" containsNumber="1" containsInteger="1" minValue="0" maxValue="57256"/>
    </cacheField>
    <cacheField name="completed2" numFmtId="0">
      <sharedItems containsSemiMixedTypes="0" containsString="0" containsNumber="1" containsInteger="1" minValue="0" maxValue="1676"/>
    </cacheField>
    <cacheField name="attempted2" numFmtId="0">
      <sharedItems containsSemiMixedTypes="0" containsString="0" containsNumber="1" containsInteger="1" minValue="0" maxValue="1774"/>
    </cacheField>
    <cacheField name="completed3" numFmtId="0">
      <sharedItems containsSemiMixedTypes="0" containsString="0" containsNumber="1" containsInteger="1" minValue="0" maxValue="1273"/>
    </cacheField>
    <cacheField name="attempted3" numFmtId="0">
      <sharedItems containsSemiMixedTypes="0" containsString="0" containsNumber="1" containsInteger="1" minValue="0" maxValue="1360"/>
    </cacheField>
    <cacheField name="completed4" numFmtId="0">
      <sharedItems containsSemiMixedTypes="0" containsString="0" containsNumber="1" containsInteger="1" minValue="0" maxValue="340"/>
    </cacheField>
    <cacheField name="attempted4" numFmtId="0">
      <sharedItems containsSemiMixedTypes="0" containsString="0" containsNumber="1" containsInteger="1" minValue="0" maxValue="401"/>
    </cacheField>
    <cacheField name="asists" numFmtId="0">
      <sharedItems containsSemiMixedTypes="0" containsString="0" containsNumber="1" containsInteger="1" minValue="0" maxValue="10"/>
    </cacheField>
    <cacheField name="xA" numFmtId="0">
      <sharedItems/>
    </cacheField>
    <cacheField name="key passes" numFmtId="0">
      <sharedItems containsSemiMixedTypes="0" containsString="0" containsNumber="1" containsInteger="1" minValue="0" maxValue="73"/>
    </cacheField>
    <cacheField name="pass to 1/3" numFmtId="0">
      <sharedItems containsSemiMixedTypes="0" containsString="0" containsNumber="1" containsInteger="1" minValue="0" maxValue="378"/>
    </cacheField>
    <cacheField name="passes to PA" numFmtId="0">
      <sharedItems containsSemiMixedTypes="0" containsString="0" containsNumber="1" containsInteger="1" minValue="0" maxValue="61"/>
    </cacheField>
    <cacheField name="cross to PA" numFmtId="0">
      <sharedItems containsSemiMixedTypes="0" containsString="0" containsNumber="1" containsInteger="1" minValue="0" maxValue="13"/>
    </cacheField>
    <cacheField name="Prog passes" numFmtId="0">
      <sharedItems containsSemiMixedTypes="0" containsString="0" containsNumber="1" containsInteger="1" minValue="0" maxValue="376"/>
    </cacheField>
    <cacheField name="Passes %" numFmtId="0" formula="completed/attempted" databaseField="0"/>
    <cacheField name="Short passes %" numFmtId="0" formula="completed2/attempted2" databaseField="0"/>
    <cacheField name="Long passes %" numFmtId="0" formula="completed4/attempted4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19.940388310184" createdVersion="8" refreshedVersion="8" minRefreshableVersion="3" recordCount="26" xr:uid="{97502B11-91C7-49E6-A4A4-A19FFF601A92}">
  <cacheSource type="worksheet">
    <worksheetSource ref="A3:K29" sheet="24-25 Shooting"/>
  </cacheSource>
  <cacheFields count="15">
    <cacheField name="Player" numFmtId="0">
      <sharedItems count="26">
        <s v="Erling Haaland"/>
        <s v="Joško Gvardiol"/>
        <s v="Bernardo Silva"/>
        <s v="Manuel Akanji"/>
        <s v="Mateo Kovačić"/>
        <s v="Rico Lewis"/>
        <s v="Phil Foden"/>
        <s v="Ederson"/>
        <s v="İlkay Gündoğan"/>
        <s v="Sávio"/>
        <s v="Rúben Dias"/>
        <s v="Kevin De Bruyne"/>
        <s v="Matheus Nunes"/>
        <s v="Kyle Walker"/>
        <s v="Stefan Ortega"/>
        <s v="Jeremy Doku"/>
        <s v="Nathan Aké"/>
        <s v="Jack Grealish"/>
        <s v="John Stones"/>
        <s v="Omar Marmoush"/>
        <s v="Jahmai Simpson-Pusey"/>
        <s v="Rodri"/>
        <s v="Abdukodir Khusanov"/>
        <s v="James Mcatee"/>
        <s v="Divin Mubama"/>
        <s v="Nico O’Reilly"/>
      </sharedItems>
    </cacheField>
    <cacheField name="Nation" numFmtId="0">
      <sharedItems/>
    </cacheField>
    <cacheField name="Pos" numFmtId="0">
      <sharedItems count="7">
        <s v="FW"/>
        <s v="DF"/>
        <s v="MF,FW"/>
        <s v="MF"/>
        <s v="DF,MF"/>
        <s v="GK"/>
        <s v="FW,MF"/>
      </sharedItems>
    </cacheField>
    <cacheField name="Goals" numFmtId="0">
      <sharedItems containsSemiMixedTypes="0" containsString="0" containsNumber="1" containsInteger="1" minValue="0" maxValue="19"/>
    </cacheField>
    <cacheField name="Shoots" numFmtId="0">
      <sharedItems containsSemiMixedTypes="0" containsString="0" containsNumber="1" containsInteger="1" minValue="0" maxValue="90"/>
    </cacheField>
    <cacheField name="S on Target" numFmtId="0">
      <sharedItems containsSemiMixedTypes="0" containsString="0" containsNumber="1" containsInteger="1" minValue="0" maxValue="50"/>
    </cacheField>
    <cacheField name="Shoots/90" numFmtId="2">
      <sharedItems/>
    </cacheField>
    <cacheField name="G/SoT" numFmtId="2">
      <sharedItems/>
    </cacheField>
    <cacheField name="FK" numFmtId="0">
      <sharedItems containsSemiMixedTypes="0" containsString="0" containsNumber="1" containsInteger="1" minValue="0" maxValue="4"/>
    </cacheField>
    <cacheField name="PK" numFmtId="0">
      <sharedItems containsSemiMixedTypes="0" containsString="0" containsNumber="1" containsInteger="1" minValue="0" maxValue="1"/>
    </cacheField>
    <cacheField name="PK attemped" numFmtId="0">
      <sharedItems containsSemiMixedTypes="0" containsString="0" containsNumber="1" containsInteger="1" minValue="0" maxValue="2"/>
    </cacheField>
    <cacheField name="xG" numFmtId="0">
      <sharedItems/>
    </cacheField>
    <cacheField name="Shoots per match" numFmtId="0" formula="Shoots/24" databaseField="0"/>
    <cacheField name="S on T per match" numFmtId="0" formula="'S on Target'/24" databaseField="0"/>
    <cacheField name="Goals % per S on T" numFmtId="0" formula="Goals/'S on Targe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19.951906712966" createdVersion="8" refreshedVersion="8" minRefreshableVersion="3" recordCount="25" xr:uid="{CC938B87-F494-4AEF-AE46-4CCB2F249F80}">
  <cacheSource type="worksheet">
    <worksheetSource ref="A3:K28" sheet="23-24 Shooting"/>
  </cacheSource>
  <cacheFields count="14">
    <cacheField name="Player" numFmtId="0">
      <sharedItems count="25">
        <s v="Rodri"/>
        <s v="Phil Foden"/>
        <s v="Ederson"/>
        <s v="Julián Álvarez"/>
        <s v="Kyle Walker"/>
        <s v="Bernardo Silva"/>
        <s v="Erling Haaland"/>
        <s v="Rúben Dias"/>
        <s v="Manuel Akanji"/>
        <s v="Joško Gvardiol"/>
        <s v="Nathan Aké"/>
        <s v="Jeremy Doku"/>
        <s v="Mateo Kovačić"/>
        <s v="Kevin De Bruyne"/>
        <s v="John Stones"/>
        <s v="Jack Grealish"/>
        <s v="Rico Lewis"/>
        <s v="Matheus Nunes"/>
        <s v="Stefan Ortega"/>
        <s v="Oscar Bobb"/>
        <s v="Kalvin Phillips"/>
        <s v="Sergio Gómez"/>
        <s v="Aymeric Laporte"/>
        <s v="Cole Palmer"/>
        <s v="James Mcatee"/>
      </sharedItems>
    </cacheField>
    <cacheField name="Nation" numFmtId="0">
      <sharedItems/>
    </cacheField>
    <cacheField name="Pos" numFmtId="0">
      <sharedItems count="7">
        <s v="MF"/>
        <s v="FW,MF"/>
        <s v="GK"/>
        <s v="MF,FW"/>
        <s v="DF"/>
        <s v="FW"/>
        <s v="DF,MF"/>
      </sharedItems>
    </cacheField>
    <cacheField name="Goals" numFmtId="0">
      <sharedItems containsSemiMixedTypes="0" containsString="0" containsNumber="1" containsInteger="1" minValue="0" maxValue="27"/>
    </cacheField>
    <cacheField name="Shoots" numFmtId="0">
      <sharedItems containsSemiMixedTypes="0" containsString="0" containsNumber="1" containsInteger="1" minValue="0" maxValue="113"/>
    </cacheField>
    <cacheField name="S on Target" numFmtId="0">
      <sharedItems containsSemiMixedTypes="0" containsString="0" containsNumber="1" containsInteger="1" minValue="0" maxValue="50"/>
    </cacheField>
    <cacheField name="G/SoT" numFmtId="2">
      <sharedItems/>
    </cacheField>
    <cacheField name="FK" numFmtId="0">
      <sharedItems containsSemiMixedTypes="0" containsString="0" containsNumber="1" containsInteger="1" minValue="0" maxValue="13"/>
    </cacheField>
    <cacheField name="PK" numFmtId="0">
      <sharedItems containsSemiMixedTypes="0" containsString="0" containsNumber="1" containsInteger="1" minValue="0" maxValue="7"/>
    </cacheField>
    <cacheField name="PK attemped" numFmtId="0">
      <sharedItems containsSemiMixedTypes="0" containsString="0" containsNumber="1" containsInteger="1" minValue="0" maxValue="8"/>
    </cacheField>
    <cacheField name="xG" numFmtId="0">
      <sharedItems/>
    </cacheField>
    <cacheField name="Shoots per match" numFmtId="0" formula="Shoots/38" databaseField="0"/>
    <cacheField name="S on T per match" numFmtId="0" formula="'S on Target'/38" databaseField="0"/>
    <cacheField name="Goals % per S on T" numFmtId="0" formula="Goals/'S on Targe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31.078292361111" createdVersion="8" refreshedVersion="8" minRefreshableVersion="3" recordCount="26" xr:uid="{B2692E74-65C1-4802-A8EB-9C0CE3425B21}">
  <cacheSource type="worksheet">
    <worksheetSource ref="A3:O29" sheet="24-25 Defence"/>
  </cacheSource>
  <cacheFields count="16">
    <cacheField name="Player" numFmtId="0">
      <sharedItems count="26">
        <s v="Erling Haaland"/>
        <s v="Joško Gvardiol"/>
        <s v="Bernardo Silva"/>
        <s v="Manuel Akanji"/>
        <s v="Mateo Kovačić"/>
        <s v="Rico Lewis"/>
        <s v="Phil Foden"/>
        <s v="Ederson"/>
        <s v="İlkay Gündoğan"/>
        <s v="Sávio"/>
        <s v="Rúben Dias"/>
        <s v="Kevin De Bruyne"/>
        <s v="Matheus Nunes"/>
        <s v="Kyle Walker"/>
        <s v="Stefan Ortega"/>
        <s v="Jeremy Doku"/>
        <s v="Nathan Aké"/>
        <s v="Jack Grealish"/>
        <s v="John Stones"/>
        <s v="Omar Marmoush"/>
        <s v="Jahmai Simpson-Pusey"/>
        <s v="Rodri"/>
        <s v="Abdukodir Khusanov"/>
        <s v="James Mcatee"/>
        <s v="Divin Mubama"/>
        <s v="Nico O’Reilly"/>
      </sharedItems>
    </cacheField>
    <cacheField name="Nation" numFmtId="0">
      <sharedItems/>
    </cacheField>
    <cacheField name="Pos" numFmtId="0">
      <sharedItems count="7">
        <s v="FW"/>
        <s v="DF"/>
        <s v="MF,FW"/>
        <s v="MF"/>
        <s v="DF,MF"/>
        <s v="GK"/>
        <s v="FW,MF"/>
      </sharedItems>
    </cacheField>
    <cacheField name="Tackles" numFmtId="0">
      <sharedItems containsSemiMixedTypes="0" containsString="0" containsNumber="1" containsInteger="1" minValue="0" maxValue="46"/>
    </cacheField>
    <cacheField name="Tackles Won" numFmtId="0">
      <sharedItems containsSemiMixedTypes="0" containsString="0" containsNumber="1" containsInteger="1" minValue="0" maxValue="27"/>
    </cacheField>
    <cacheField name="Tackles Def " numFmtId="0">
      <sharedItems containsSemiMixedTypes="0" containsString="0" containsNumber="1" containsInteger="1" minValue="0" maxValue="16"/>
    </cacheField>
    <cacheField name="Tackles Mid " numFmtId="0">
      <sharedItems containsSemiMixedTypes="0" containsString="0" containsNumber="1" containsInteger="1" minValue="0" maxValue="26"/>
    </cacheField>
    <cacheField name="Dribbles Tackled" numFmtId="0">
      <sharedItems containsSemiMixedTypes="0" containsString="0" containsNumber="1" containsInteger="1" minValue="0" maxValue="22"/>
    </cacheField>
    <cacheField name="Tackles Lost" numFmtId="0">
      <sharedItems containsSemiMixedTypes="0" containsString="0" containsNumber="1" containsInteger="1" minValue="0" maxValue="26"/>
    </cacheField>
    <cacheField name="Blocks" numFmtId="0">
      <sharedItems containsSemiMixedTypes="0" containsString="0" containsNumber="1" containsInteger="1" minValue="0" maxValue="27"/>
    </cacheField>
    <cacheField name="Shoots Block" numFmtId="0">
      <sharedItems containsSemiMixedTypes="0" containsString="0" containsNumber="1" containsInteger="1" minValue="0" maxValue="13"/>
    </cacheField>
    <cacheField name="Passes Block" numFmtId="0">
      <sharedItems containsSemiMixedTypes="0" containsString="0" containsNumber="1" containsInteger="1" minValue="0" maxValue="17"/>
    </cacheField>
    <cacheField name="Interceptions" numFmtId="0">
      <sharedItems containsSemiMixedTypes="0" containsString="0" containsNumber="1" containsInteger="1" minValue="0" maxValue="25"/>
    </cacheField>
    <cacheField name="Clearances" numFmtId="0">
      <sharedItems containsSemiMixedTypes="0" containsString="0" containsNumber="1" containsInteger="1" minValue="0" maxValue="68"/>
    </cacheField>
    <cacheField name="Errors to shoot" numFmtId="0">
      <sharedItems containsSemiMixedTypes="0" containsString="0" containsNumber="1" containsInteger="1" minValue="0" maxValue="5"/>
    </cacheField>
    <cacheField name="Tackles %" numFmtId="0" formula="'Tackles Won'/Tack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31.093147337961" createdVersion="8" refreshedVersion="8" minRefreshableVersion="3" recordCount="25" xr:uid="{65D28ED6-DF03-484C-A811-8F93C89B497E}">
  <cacheSource type="worksheet">
    <worksheetSource ref="A3:O28" sheet="23-24 Defence"/>
  </cacheSource>
  <cacheFields count="16">
    <cacheField name="Player" numFmtId="0">
      <sharedItems count="25">
        <s v="Rodri"/>
        <s v="Phil Foden"/>
        <s v="Ederson"/>
        <s v="Julián Álvarez"/>
        <s v="Kyle Walker"/>
        <s v="Bernardo Silva"/>
        <s v="Erling Haaland"/>
        <s v="Rúben Dias"/>
        <s v="Manuel Akanji"/>
        <s v="Joško Gvardiol"/>
        <s v="Nathan Aké"/>
        <s v="Jeremy Doku"/>
        <s v="Mateo Kovačić"/>
        <s v="Kevin De Bruyne"/>
        <s v="John Stones"/>
        <s v="Jack Grealish"/>
        <s v="Rico Lewis"/>
        <s v="Matheus Nunes"/>
        <s v="Stefan Ortega"/>
        <s v="Oscar Bobb"/>
        <s v="Kalvin Phillips"/>
        <s v="Sergio Gómez"/>
        <s v="Aymeric Laporte"/>
        <s v="Cole Palmer"/>
        <s v="James Mcatee"/>
      </sharedItems>
    </cacheField>
    <cacheField name="Nation" numFmtId="0">
      <sharedItems/>
    </cacheField>
    <cacheField name="Pos" numFmtId="0">
      <sharedItems count="7">
        <s v="MF"/>
        <s v="FW,MF"/>
        <s v="GK"/>
        <s v="MF,FW"/>
        <s v="DF"/>
        <s v="FW"/>
        <s v="DF,MF"/>
      </sharedItems>
    </cacheField>
    <cacheField name="Tackles" numFmtId="0">
      <sharedItems containsSemiMixedTypes="0" containsString="0" containsNumber="1" containsInteger="1" minValue="0" maxValue="70"/>
    </cacheField>
    <cacheField name="Tackles Won" numFmtId="0">
      <sharedItems containsSemiMixedTypes="0" containsString="0" containsNumber="1" containsInteger="1" minValue="0" maxValue="43"/>
    </cacheField>
    <cacheField name="Tackles Def " numFmtId="0">
      <sharedItems containsSemiMixedTypes="0" containsString="0" containsNumber="1" containsInteger="1" minValue="0" maxValue="25"/>
    </cacheField>
    <cacheField name="Tackles Mid " numFmtId="0">
      <sharedItems containsSemiMixedTypes="0" containsString="0" containsNumber="1" containsInteger="1" minValue="0" maxValue="33"/>
    </cacheField>
    <cacheField name="Dribbles Tackled" numFmtId="0">
      <sharedItems containsSemiMixedTypes="0" containsString="0" containsNumber="1" containsInteger="1" minValue="0" maxValue="29"/>
    </cacheField>
    <cacheField name="Tackles Lost" numFmtId="0">
      <sharedItems containsSemiMixedTypes="0" containsString="0" containsNumber="1" containsInteger="1" minValue="0" maxValue="32"/>
    </cacheField>
    <cacheField name="Blocks" numFmtId="0">
      <sharedItems containsSemiMixedTypes="0" containsString="0" containsNumber="1" containsInteger="1" minValue="0" maxValue="36"/>
    </cacheField>
    <cacheField name="Shoots Block" numFmtId="0">
      <sharedItems containsSemiMixedTypes="0" containsString="0" containsNumber="1" containsInteger="1" minValue="0" maxValue="17"/>
    </cacheField>
    <cacheField name="Passes Block" numFmtId="0">
      <sharedItems containsSemiMixedTypes="0" containsString="0" containsNumber="1" containsInteger="1" minValue="0" maxValue="30"/>
    </cacheField>
    <cacheField name="Interceptions" numFmtId="0">
      <sharedItems containsSemiMixedTypes="0" containsString="0" containsNumber="1" containsInteger="1" minValue="0" maxValue="30"/>
    </cacheField>
    <cacheField name="Clearances" numFmtId="0">
      <sharedItems containsSemiMixedTypes="0" containsString="0" containsNumber="1" containsInteger="1" minValue="0" maxValue="77"/>
    </cacheField>
    <cacheField name="Errors to shoot" numFmtId="0">
      <sharedItems containsSemiMixedTypes="0" containsString="0" containsNumber="1" containsInteger="1" minValue="0" maxValue="4"/>
    </cacheField>
    <cacheField name="Tackles %" numFmtId="0" formula="'Tackles Won'/Tack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40.965934375003" createdVersion="8" refreshedVersion="8" minRefreshableVersion="3" recordCount="2" xr:uid="{D2243F60-6BD2-472B-80F3-41B74EEE9AC6}">
  <cacheSource type="worksheet">
    <worksheetSource ref="A3:P5" sheet="24-25 Goalkeeping"/>
  </cacheSource>
  <cacheFields count="17">
    <cacheField name="Player" numFmtId="0">
      <sharedItems count="2">
        <s v="Ederson"/>
        <s v="Stefan Ortega"/>
      </sharedItems>
    </cacheField>
    <cacheField name="Nation" numFmtId="0">
      <sharedItems/>
    </cacheField>
    <cacheField name="Pos" numFmtId="0">
      <sharedItems/>
    </cacheField>
    <cacheField name="Goals against" numFmtId="0">
      <sharedItems containsSemiMixedTypes="0" containsString="0" containsNumber="1" containsInteger="1" minValue="15" maxValue="20"/>
    </cacheField>
    <cacheField name="Penalty goal" numFmtId="0">
      <sharedItems containsSemiMixedTypes="0" containsString="0" containsNumber="1" containsInteger="1" minValue="1" maxValue="2"/>
    </cacheField>
    <cacheField name="Freekick goal" numFmtId="0">
      <sharedItems containsSemiMixedTypes="0" containsString="0" containsNumber="1" containsInteger="1" minValue="0" maxValue="0"/>
    </cacheField>
    <cacheField name="Corner goal" numFmtId="0">
      <sharedItems containsSemiMixedTypes="0" containsString="0" containsNumber="1" containsInteger="1" minValue="1" maxValue="1"/>
    </cacheField>
    <cacheField name="Own goal" numFmtId="0">
      <sharedItems containsSemiMixedTypes="0" containsString="0" containsNumber="1" containsInteger="1" minValue="0" maxValue="1"/>
    </cacheField>
    <cacheField name="Shots on Target" numFmtId="0">
      <sharedItems containsSemiMixedTypes="0" containsString="0" containsNumber="1" containsInteger="1" minValue="41" maxValue="55"/>
    </cacheField>
    <cacheField name="Saves" numFmtId="0">
      <sharedItems containsSemiMixedTypes="0" containsString="0" containsNumber="1" containsInteger="1" minValue="26" maxValue="32"/>
    </cacheField>
    <cacheField name="PSxG" numFmtId="2">
      <sharedItems count="2">
        <s v="21.5"/>
        <s v="13.4"/>
      </sharedItems>
    </cacheField>
    <cacheField name="Launched  Passes completed" numFmtId="0">
      <sharedItems containsSemiMixedTypes="0" containsString="0" containsNumber="1" containsInteger="1" minValue="31" maxValue="51"/>
    </cacheField>
    <cacheField name="Completed %" numFmtId="9">
      <sharedItems count="2">
        <s v="44.7"/>
        <s v="44.9"/>
      </sharedItems>
    </cacheField>
    <cacheField name="Crosses faced" numFmtId="0">
      <sharedItems containsSemiMixedTypes="0" containsString="0" containsNumber="1" containsInteger="1" minValue="96" maxValue="119"/>
    </cacheField>
    <cacheField name="Crosses stoped" numFmtId="0">
      <sharedItems containsSemiMixedTypes="0" containsString="0" containsNumber="1" containsInteger="1" minValue="2" maxValue="9"/>
    </cacheField>
    <cacheField name="Def actions outstide PA" numFmtId="0">
      <sharedItems containsSemiMixedTypes="0" containsString="0" containsNumber="1" containsInteger="1" minValue="9" maxValue="28"/>
    </cacheField>
    <cacheField name="Saves % " numFmtId="0" formula="Saves/'Shots on Targe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vi Farajli" refreshedDate="45740.980913657404" createdVersion="8" refreshedVersion="8" minRefreshableVersion="3" recordCount="2" xr:uid="{FB9F9CD4-61F8-490C-84D7-E6E8CBF99D20}">
  <cacheSource type="worksheet">
    <worksheetSource ref="A3:P5" sheet="23-24 Goalkeeping"/>
  </cacheSource>
  <cacheFields count="17">
    <cacheField name="Player" numFmtId="0">
      <sharedItems count="2">
        <s v="Ederson"/>
        <s v="Stefan Ortega"/>
      </sharedItems>
    </cacheField>
    <cacheField name="Nation" numFmtId="0">
      <sharedItems/>
    </cacheField>
    <cacheField name="Pos" numFmtId="0">
      <sharedItems/>
    </cacheField>
    <cacheField name="Goals against" numFmtId="0">
      <sharedItems containsSemiMixedTypes="0" containsString="0" containsNumber="1" containsInteger="1" minValue="7" maxValue="27"/>
    </cacheField>
    <cacheField name="Penalty goal" numFmtId="0">
      <sharedItems containsSemiMixedTypes="0" containsString="0" containsNumber="1" containsInteger="1" minValue="0" maxValue="3"/>
    </cacheField>
    <cacheField name="Freekick goal" numFmtId="0">
      <sharedItems containsSemiMixedTypes="0" containsString="0" containsNumber="1" containsInteger="1" minValue="0" maxValue="0"/>
    </cacheField>
    <cacheField name="Corner goal" numFmtId="0">
      <sharedItems containsSemiMixedTypes="0" containsString="0" containsNumber="1" containsInteger="1" minValue="1" maxValue="2"/>
    </cacheField>
    <cacheField name="Own goal" numFmtId="0">
      <sharedItems containsSemiMixedTypes="0" containsString="0" containsNumber="1" containsInteger="1" minValue="0" maxValue="1"/>
    </cacheField>
    <cacheField name="Shots on Target" numFmtId="0">
      <sharedItems containsSemiMixedTypes="0" containsString="0" containsNumber="1" containsInteger="1" minValue="27" maxValue="82"/>
    </cacheField>
    <cacheField name="Saves" numFmtId="0">
      <sharedItems containsSemiMixedTypes="0" containsString="0" containsNumber="1" containsInteger="1" minValue="20" maxValue="56"/>
    </cacheField>
    <cacheField name="PSxG" numFmtId="0">
      <sharedItems containsSemiMixedTypes="0" containsString="0" containsNumber="1" minValue="9" maxValue="27.2"/>
    </cacheField>
    <cacheField name="Launched  Passes completed" numFmtId="0">
      <sharedItems containsSemiMixedTypes="0" containsString="0" containsNumber="1" containsInteger="1" minValue="28" maxValue="114"/>
    </cacheField>
    <cacheField name="Completed %" numFmtId="0">
      <sharedItems/>
    </cacheField>
    <cacheField name="Crosses faced" numFmtId="0">
      <sharedItems containsSemiMixedTypes="0" containsString="0" containsNumber="1" containsInteger="1" minValue="65" maxValue="247"/>
    </cacheField>
    <cacheField name="Crosses stoped" numFmtId="0">
      <sharedItems containsSemiMixedTypes="0" containsString="0" containsNumber="1" containsInteger="1" minValue="6" maxValue="25"/>
    </cacheField>
    <cacheField name="Def actions outstide PA" numFmtId="0">
      <sharedItems containsSemiMixedTypes="0" containsString="0" containsNumber="1" containsInteger="1" minValue="13" maxValue="50"/>
    </cacheField>
    <cacheField name="Saves %" numFmtId="0" formula="Saves/'Shots on Targe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NOR"/>
    <x v="0"/>
    <n v="24"/>
    <n v="24"/>
    <n v="24"/>
    <n v="2.1240000000000001"/>
    <s v="23.6"/>
    <x v="0"/>
    <n v="2"/>
    <n v="21"/>
    <n v="18"/>
    <n v="1"/>
    <n v="2"/>
    <n v="2"/>
    <n v="0"/>
    <s v="18.2"/>
    <s v="16.6"/>
    <s v="2.1"/>
    <n v="16"/>
    <n v="15"/>
    <n v="95"/>
    <s v="0.81"/>
    <s v="0.08"/>
    <s v="0.89"/>
    <s v="0.76"/>
    <s v="0.77"/>
    <s v="0.09"/>
  </r>
  <r>
    <x v="1"/>
    <s v="CRO"/>
    <x v="1"/>
    <n v="23"/>
    <n v="23"/>
    <n v="22"/>
    <n v="2.0219999999999998"/>
    <s v="22.5"/>
    <x v="1"/>
    <n v="0"/>
    <n v="5"/>
    <n v="5"/>
    <n v="0"/>
    <n v="0"/>
    <n v="1"/>
    <n v="0"/>
    <s v="4.2"/>
    <s v="3.8"/>
    <s v="1.5"/>
    <n v="56"/>
    <n v="163"/>
    <n v="79"/>
    <s v="0.22"/>
    <s v="0.00"/>
    <s v="0.22"/>
    <s v="0.22"/>
    <s v="0.19"/>
    <s v="0.07"/>
  </r>
  <r>
    <x v="2"/>
    <s v="POR"/>
    <x v="2"/>
    <n v="30"/>
    <n v="23"/>
    <n v="21"/>
    <n v="1.9159999999999999"/>
    <s v="21.3"/>
    <x v="2"/>
    <n v="4"/>
    <n v="6"/>
    <n v="2"/>
    <n v="0"/>
    <n v="0"/>
    <n v="5"/>
    <n v="0"/>
    <s v="2.9"/>
    <s v="2.9"/>
    <s v="4.0"/>
    <n v="77"/>
    <n v="89"/>
    <n v="156"/>
    <s v="0.09"/>
    <s v="0.19"/>
    <s v="0.28"/>
    <s v="0.09"/>
    <s v="0.13"/>
    <s v="0.19"/>
  </r>
  <r>
    <x v="3"/>
    <s v="SUI"/>
    <x v="1"/>
    <n v="29"/>
    <n v="20"/>
    <n v="20"/>
    <n v="1.7070000000000001"/>
    <s v="19.0"/>
    <x v="3"/>
    <n v="0"/>
    <n v="0"/>
    <n v="0"/>
    <n v="0"/>
    <n v="0"/>
    <n v="3"/>
    <n v="0"/>
    <s v="0.7"/>
    <s v="0.7"/>
    <s v="0.4"/>
    <n v="38"/>
    <n v="135"/>
    <n v="6"/>
    <s v="0.00"/>
    <s v="0.00"/>
    <s v="0.00"/>
    <s v="0.00"/>
    <s v="0.04"/>
    <s v="0.02"/>
  </r>
  <r>
    <x v="4"/>
    <s v="CRO"/>
    <x v="3"/>
    <n v="30"/>
    <n v="20"/>
    <n v="18"/>
    <n v="1.5449999999999999"/>
    <s v="17.2"/>
    <x v="4"/>
    <n v="1"/>
    <n v="5"/>
    <n v="4"/>
    <n v="0"/>
    <n v="0"/>
    <n v="5"/>
    <n v="0"/>
    <s v="1.4"/>
    <s v="1.4"/>
    <s v="3.4"/>
    <n v="43"/>
    <n v="109"/>
    <n v="14"/>
    <s v="0.23"/>
    <s v="0.06"/>
    <s v="0.29"/>
    <s v="0.23"/>
    <s v="0.08"/>
    <s v="0.20"/>
  </r>
  <r>
    <x v="5"/>
    <s v="ENG"/>
    <x v="4"/>
    <n v="20"/>
    <n v="19"/>
    <n v="16"/>
    <n v="1.4019999999999999"/>
    <s v="15.6"/>
    <x v="5"/>
    <n v="2"/>
    <n v="3"/>
    <n v="1"/>
    <n v="0"/>
    <n v="0"/>
    <n v="5"/>
    <n v="1"/>
    <s v="1.2"/>
    <s v="1.2"/>
    <s v="0.3"/>
    <n v="32"/>
    <n v="80"/>
    <n v="57"/>
    <s v="0.06"/>
    <s v="0.13"/>
    <s v="0.19"/>
    <s v="0.06"/>
    <s v="0.07"/>
    <s v="0.02"/>
  </r>
  <r>
    <x v="6"/>
    <s v="ENG"/>
    <x v="2"/>
    <n v="24"/>
    <n v="19"/>
    <n v="15"/>
    <n v="1.3640000000000001"/>
    <s v="15.2"/>
    <x v="6"/>
    <n v="2"/>
    <n v="9"/>
    <n v="7"/>
    <n v="0"/>
    <n v="0"/>
    <n v="2"/>
    <n v="0"/>
    <s v="4.6"/>
    <s v="4.6"/>
    <s v="3.9"/>
    <n v="37"/>
    <n v="81"/>
    <n v="98"/>
    <s v="0.46"/>
    <s v="0.13"/>
    <s v="0.59"/>
    <s v="0.46"/>
    <s v="0.30"/>
    <s v="0.26"/>
  </r>
  <r>
    <x v="7"/>
    <s v="BRA"/>
    <x v="5"/>
    <n v="31"/>
    <n v="15"/>
    <n v="15"/>
    <n v="1.35"/>
    <s v="15.0"/>
    <x v="3"/>
    <n v="2"/>
    <n v="2"/>
    <n v="0"/>
    <n v="0"/>
    <n v="0"/>
    <n v="3"/>
    <n v="0"/>
    <s v="0.0"/>
    <s v="0.0"/>
    <s v="0.5"/>
    <n v="0"/>
    <n v="1"/>
    <n v="0"/>
    <s v="0.00"/>
    <s v="0.13"/>
    <s v="0.13"/>
    <s v="0.00"/>
    <s v="0.00"/>
    <s v="0.03"/>
  </r>
  <r>
    <x v="8"/>
    <s v="GER"/>
    <x v="3"/>
    <n v="34"/>
    <n v="21"/>
    <n v="15"/>
    <n v="1.3440000000000001"/>
    <s v="14.9"/>
    <x v="3"/>
    <n v="1"/>
    <n v="1"/>
    <n v="0"/>
    <n v="0"/>
    <n v="0"/>
    <n v="1"/>
    <n v="0"/>
    <s v="1.6"/>
    <s v="1.6"/>
    <s v="1.9"/>
    <n v="37"/>
    <n v="87"/>
    <n v="59"/>
    <s v="0.00"/>
    <s v="0.07"/>
    <s v="0.07"/>
    <s v="0.00"/>
    <s v="0.11"/>
    <s v="0.13"/>
  </r>
  <r>
    <x v="9"/>
    <s v="BRA"/>
    <x v="6"/>
    <n v="20"/>
    <n v="19"/>
    <n v="14"/>
    <n v="1.17"/>
    <s v="13.0"/>
    <x v="5"/>
    <n v="6"/>
    <n v="7"/>
    <n v="1"/>
    <n v="0"/>
    <n v="0"/>
    <n v="2"/>
    <n v="0"/>
    <s v="3.1"/>
    <s v="3.1"/>
    <s v="5.3"/>
    <n v="94"/>
    <n v="52"/>
    <n v="153"/>
    <s v="0.08"/>
    <s v="0.46"/>
    <s v="0.54"/>
    <s v="0.08"/>
    <s v="0.24"/>
    <s v="0.40"/>
  </r>
  <r>
    <x v="10"/>
    <s v="POR"/>
    <x v="1"/>
    <n v="27"/>
    <n v="14"/>
    <n v="13"/>
    <n v="1.177"/>
    <s v="13.1"/>
    <x v="3"/>
    <n v="0"/>
    <n v="0"/>
    <n v="0"/>
    <n v="0"/>
    <n v="0"/>
    <n v="3"/>
    <n v="0"/>
    <s v="1.1"/>
    <s v="1.1"/>
    <s v="0.3"/>
    <n v="19"/>
    <n v="78"/>
    <n v="5"/>
    <s v="0.00"/>
    <s v="0.00"/>
    <s v="0.00"/>
    <s v="0.00"/>
    <s v="0.08"/>
    <s v="0.02"/>
  </r>
  <r>
    <x v="11"/>
    <s v="BEL"/>
    <x v="3"/>
    <n v="33"/>
    <n v="17"/>
    <n v="11"/>
    <n v="1.0109999999999999"/>
    <s v="11.2"/>
    <x v="2"/>
    <n v="6"/>
    <n v="8"/>
    <n v="2"/>
    <n v="0"/>
    <n v="0"/>
    <n v="2"/>
    <n v="0"/>
    <s v="2.5"/>
    <s v="2.5"/>
    <s v="6.0"/>
    <n v="35"/>
    <n v="106"/>
    <n v="99"/>
    <s v="0.18"/>
    <s v="0.53"/>
    <s v="0.71"/>
    <s v="0.18"/>
    <s v="0.22"/>
    <s v="0.54"/>
  </r>
  <r>
    <x v="12"/>
    <s v="POR"/>
    <x v="4"/>
    <n v="26"/>
    <n v="16"/>
    <n v="10"/>
    <n v="890"/>
    <s v="9.9"/>
    <x v="3"/>
    <n v="4"/>
    <n v="4"/>
    <n v="0"/>
    <n v="0"/>
    <n v="0"/>
    <n v="2"/>
    <n v="0"/>
    <s v="0.5"/>
    <s v="0.5"/>
    <s v="2.9"/>
    <n v="39"/>
    <n v="34"/>
    <n v="121"/>
    <s v="0.00"/>
    <s v="0.40"/>
    <s v="0.40"/>
    <s v="0.00"/>
    <s v="0.05"/>
    <s v="0.29"/>
  </r>
  <r>
    <x v="13"/>
    <s v="ENG"/>
    <x v="1"/>
    <n v="34"/>
    <n v="15"/>
    <n v="9"/>
    <n v="970"/>
    <s v="10.8"/>
    <x v="3"/>
    <n v="0"/>
    <n v="0"/>
    <n v="0"/>
    <n v="0"/>
    <n v="0"/>
    <n v="3"/>
    <n v="0"/>
    <s v="0.1"/>
    <s v="0.1"/>
    <s v="0.4"/>
    <n v="12"/>
    <n v="64"/>
    <n v="11"/>
    <s v="0.00"/>
    <s v="0.00"/>
    <s v="0.00"/>
    <s v="0.00"/>
    <s v="0.01"/>
    <s v="0.04"/>
  </r>
  <r>
    <x v="14"/>
    <s v="GER"/>
    <x v="5"/>
    <n v="32"/>
    <n v="9"/>
    <n v="9"/>
    <n v="810"/>
    <s v="9.0"/>
    <x v="3"/>
    <n v="0"/>
    <n v="0"/>
    <n v="0"/>
    <n v="0"/>
    <n v="0"/>
    <n v="1"/>
    <n v="0"/>
    <s v="0.0"/>
    <s v="0.0"/>
    <s v="0.0"/>
    <n v="0"/>
    <n v="0"/>
    <n v="0"/>
    <s v="0.00"/>
    <s v="0.00"/>
    <s v="0.00"/>
    <s v="0.00"/>
    <s v="0.00"/>
    <s v="0.00"/>
  </r>
  <r>
    <x v="15"/>
    <s v="BEL"/>
    <x v="6"/>
    <n v="22"/>
    <n v="15"/>
    <n v="9"/>
    <n v="789"/>
    <s v="8.8"/>
    <x v="7"/>
    <n v="4"/>
    <n v="7"/>
    <n v="3"/>
    <n v="0"/>
    <n v="0"/>
    <n v="0"/>
    <n v="0"/>
    <s v="0.8"/>
    <s v="0.8"/>
    <s v="2.3"/>
    <n v="104"/>
    <n v="36"/>
    <n v="147"/>
    <s v="0.34"/>
    <s v="0.46"/>
    <s v="0.80"/>
    <s v="0.34"/>
    <s v="0.09"/>
    <s v="0.26"/>
  </r>
  <r>
    <x v="16"/>
    <s v="NED"/>
    <x v="1"/>
    <n v="29"/>
    <n v="9"/>
    <n v="7"/>
    <n v="602"/>
    <s v="6.7"/>
    <x v="3"/>
    <n v="0"/>
    <n v="0"/>
    <n v="0"/>
    <n v="0"/>
    <n v="0"/>
    <n v="0"/>
    <n v="0"/>
    <s v="0.2"/>
    <s v="0.2"/>
    <s v="0.0"/>
    <n v="11"/>
    <n v="39"/>
    <n v="2"/>
    <s v="0.00"/>
    <s v="0.00"/>
    <s v="0.00"/>
    <s v="0.00"/>
    <s v="0.03"/>
    <s v="0.00"/>
  </r>
  <r>
    <x v="17"/>
    <s v="ENG"/>
    <x v="6"/>
    <n v="29"/>
    <n v="15"/>
    <n v="6"/>
    <n v="608"/>
    <s v="6.8"/>
    <x v="3"/>
    <n v="1"/>
    <n v="1"/>
    <n v="0"/>
    <n v="0"/>
    <n v="0"/>
    <n v="3"/>
    <n v="0"/>
    <s v="0.8"/>
    <s v="0.8"/>
    <s v="1.7"/>
    <n v="66"/>
    <n v="43"/>
    <n v="111"/>
    <s v="0.00"/>
    <s v="0.15"/>
    <s v="0.15"/>
    <s v="0.00"/>
    <s v="0.12"/>
    <s v="0.25"/>
  </r>
  <r>
    <x v="18"/>
    <s v="ENG"/>
    <x v="4"/>
    <n v="30"/>
    <n v="10"/>
    <n v="5"/>
    <n v="458"/>
    <s v="5.1"/>
    <x v="2"/>
    <n v="0"/>
    <n v="2"/>
    <n v="2"/>
    <n v="0"/>
    <n v="0"/>
    <n v="1"/>
    <n v="0"/>
    <s v="0.4"/>
    <s v="0.4"/>
    <s v="0.1"/>
    <n v="10"/>
    <n v="20"/>
    <n v="1"/>
    <s v="0.39"/>
    <s v="0.00"/>
    <s v="0.39"/>
    <s v="0.39"/>
    <s v="0.08"/>
    <s v="0.01"/>
  </r>
  <r>
    <x v="19"/>
    <s v="EGY"/>
    <x v="6"/>
    <n v="25"/>
    <n v="2"/>
    <n v="2"/>
    <n v="144"/>
    <s v="1.6"/>
    <x v="3"/>
    <n v="0"/>
    <n v="0"/>
    <n v="0"/>
    <n v="0"/>
    <n v="0"/>
    <n v="0"/>
    <n v="0"/>
    <s v="0.2"/>
    <s v="0.2"/>
    <s v="0.5"/>
    <n v="4"/>
    <n v="3"/>
    <n v="9"/>
    <s v="0.00"/>
    <s v="0.00"/>
    <s v="0.00"/>
    <s v="0.00"/>
    <s v="0.11"/>
    <s v="0.34"/>
  </r>
  <r>
    <x v="20"/>
    <s v="ENG"/>
    <x v="1"/>
    <n v="19"/>
    <n v="2"/>
    <n v="1"/>
    <n v="96"/>
    <s v="1.1"/>
    <x v="3"/>
    <n v="0"/>
    <n v="0"/>
    <n v="0"/>
    <n v="0"/>
    <n v="0"/>
    <n v="1"/>
    <n v="0"/>
    <s v="0.0"/>
    <s v="0.0"/>
    <s v="0.0"/>
    <n v="1"/>
    <n v="3"/>
    <n v="0"/>
    <s v="0.00"/>
    <s v="0.00"/>
    <s v="0.00"/>
    <s v="0.00"/>
    <s v="0.00"/>
    <s v="0.00"/>
  </r>
  <r>
    <x v="21"/>
    <s v="ESP"/>
    <x v="3"/>
    <n v="28"/>
    <n v="2"/>
    <n v="1"/>
    <n v="65"/>
    <s v="0.7"/>
    <x v="3"/>
    <n v="0"/>
    <n v="0"/>
    <n v="0"/>
    <n v="0"/>
    <n v="0"/>
    <n v="0"/>
    <n v="0"/>
    <s v="0.0"/>
    <s v="0.0"/>
    <s v="0.0"/>
    <n v="0"/>
    <n v="4"/>
    <n v="1"/>
    <s v="0.00"/>
    <s v="0.00"/>
    <s v="0.00"/>
    <s v="0.00"/>
    <s v="0.00"/>
    <s v="0.06"/>
  </r>
  <r>
    <x v="22"/>
    <s v="UZB"/>
    <x v="1"/>
    <n v="20"/>
    <n v="1"/>
    <n v="1"/>
    <n v="53"/>
    <s v="0.6"/>
    <x v="3"/>
    <n v="0"/>
    <n v="0"/>
    <n v="0"/>
    <n v="0"/>
    <n v="0"/>
    <n v="1"/>
    <n v="0"/>
    <s v="0.0"/>
    <s v="0.0"/>
    <s v="0.0"/>
    <n v="0"/>
    <n v="2"/>
    <n v="0"/>
    <s v="0.00"/>
    <s v="0.00"/>
    <s v="0.00"/>
    <s v="0.00"/>
    <s v="0.03"/>
    <s v="0.00"/>
  </r>
  <r>
    <x v="23"/>
    <s v="ENG"/>
    <x v="2"/>
    <n v="22"/>
    <n v="7"/>
    <n v="0"/>
    <n v="89"/>
    <s v="1.0"/>
    <x v="5"/>
    <n v="0"/>
    <n v="1"/>
    <n v="1"/>
    <n v="0"/>
    <n v="0"/>
    <n v="0"/>
    <n v="0"/>
    <s v="0.8"/>
    <s v="0.8"/>
    <s v="0.0"/>
    <n v="3"/>
    <n v="3"/>
    <n v="8"/>
    <s v="1.01"/>
    <s v="0.00"/>
    <s v="1.01"/>
    <s v="1.01"/>
    <s v="0.80"/>
    <s v="0.00"/>
  </r>
  <r>
    <x v="24"/>
    <s v="ENG"/>
    <x v="0"/>
    <n v="20"/>
    <n v="1"/>
    <n v="0"/>
    <n v="28"/>
    <s v="0.3"/>
    <x v="3"/>
    <n v="0"/>
    <n v="0"/>
    <n v="0"/>
    <n v="0"/>
    <n v="0"/>
    <n v="0"/>
    <n v="0"/>
    <s v="0.0"/>
    <s v="0.0"/>
    <s v="0.0"/>
    <n v="0"/>
    <n v="1"/>
    <n v="0"/>
    <s v="0.00"/>
    <s v="0.00"/>
    <s v="0.00"/>
    <s v="0.00"/>
    <s v="0.12"/>
    <s v="0.00"/>
  </r>
  <r>
    <x v="25"/>
    <s v="ENG"/>
    <x v="3"/>
    <n v="19"/>
    <n v="1"/>
    <n v="0"/>
    <n v="19"/>
    <s v="0.2"/>
    <x v="3"/>
    <n v="0"/>
    <n v="0"/>
    <n v="0"/>
    <n v="0"/>
    <n v="0"/>
    <n v="0"/>
    <n v="0"/>
    <s v="0.0"/>
    <s v="0.0"/>
    <s v="0.0"/>
    <n v="1"/>
    <n v="0"/>
    <n v="0"/>
    <s v="0.00"/>
    <s v="0.00"/>
    <s v="0.00"/>
    <s v="0.00"/>
    <s v="0.12"/>
    <s v="0.00"/>
  </r>
  <r>
    <x v="26"/>
    <s v="ENG"/>
    <x v="1"/>
    <n v="19"/>
    <n v="0"/>
    <n v="0"/>
    <s v=""/>
    <s v=""/>
    <x v="8"/>
    <s v=""/>
    <m/>
    <m/>
    <m/>
    <m/>
    <m/>
    <m/>
    <s v=""/>
    <s v=""/>
    <s v=""/>
    <m/>
    <m/>
    <m/>
    <s v=""/>
    <s v=""/>
    <s v=""/>
    <s v=""/>
    <s v=""/>
    <s v=""/>
  </r>
  <r>
    <x v="27"/>
    <s v="ENG"/>
    <x v="5"/>
    <n v="17"/>
    <n v="0"/>
    <n v="0"/>
    <s v=""/>
    <s v=""/>
    <x v="8"/>
    <s v=""/>
    <m/>
    <m/>
    <m/>
    <m/>
    <m/>
    <m/>
    <s v=""/>
    <s v=""/>
    <s v=""/>
    <m/>
    <m/>
    <m/>
    <s v=""/>
    <s v=""/>
    <s v=""/>
    <s v=""/>
    <s v=""/>
    <s v=""/>
  </r>
  <r>
    <x v="28"/>
    <s v="ENG"/>
    <x v="5"/>
    <n v="39"/>
    <n v="0"/>
    <n v="0"/>
    <s v=""/>
    <s v=""/>
    <x v="8"/>
    <s v=""/>
    <m/>
    <m/>
    <m/>
    <m/>
    <m/>
    <m/>
    <s v=""/>
    <s v=""/>
    <s v=""/>
    <m/>
    <m/>
    <m/>
    <s v=""/>
    <s v=""/>
    <s v=""/>
    <s v=""/>
    <s v=""/>
    <s v=""/>
  </r>
  <r>
    <x v="29"/>
    <s v="BFA"/>
    <x v="4"/>
    <n v="23"/>
    <n v="0"/>
    <n v="0"/>
    <s v=""/>
    <s v=""/>
    <x v="8"/>
    <s v=""/>
    <m/>
    <m/>
    <m/>
    <m/>
    <m/>
    <m/>
    <s v=""/>
    <s v=""/>
    <s v=""/>
    <m/>
    <m/>
    <m/>
    <s v=""/>
    <s v=""/>
    <s v=""/>
    <s v=""/>
    <s v=""/>
    <s v=""/>
  </r>
  <r>
    <x v="30"/>
    <s v="BRA"/>
    <x v="1"/>
    <n v="19"/>
    <n v="0"/>
    <n v="0"/>
    <s v=""/>
    <s v=""/>
    <x v="8"/>
    <s v=""/>
    <m/>
    <m/>
    <m/>
    <m/>
    <m/>
    <m/>
    <s v=""/>
    <s v=""/>
    <s v=""/>
    <m/>
    <m/>
    <m/>
    <s v=""/>
    <s v=""/>
    <s v=""/>
    <s v=""/>
    <s v=""/>
    <s v=""/>
  </r>
  <r>
    <x v="31"/>
    <s v="ENG"/>
    <x v="1"/>
    <n v="22"/>
    <n v="0"/>
    <n v="0"/>
    <s v=""/>
    <s v=""/>
    <x v="8"/>
    <s v=""/>
    <m/>
    <m/>
    <m/>
    <m/>
    <m/>
    <m/>
    <s v=""/>
    <s v=""/>
    <s v=""/>
    <m/>
    <m/>
    <m/>
    <s v=""/>
    <s v=""/>
    <s v=""/>
    <s v=""/>
    <s v=""/>
    <s v=""/>
  </r>
  <r>
    <x v="32"/>
    <s v="ENG"/>
    <x v="3"/>
    <n v="19"/>
    <n v="0"/>
    <n v="0"/>
    <s v=""/>
    <s v=""/>
    <x v="8"/>
    <s v=""/>
    <m/>
    <m/>
    <m/>
    <m/>
    <m/>
    <m/>
    <s v=""/>
    <s v=""/>
    <s v=""/>
    <m/>
    <m/>
    <m/>
    <s v=""/>
    <s v=""/>
    <s v=""/>
    <s v="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ESP"/>
    <x v="0"/>
    <s v="27"/>
    <n v="34"/>
    <n v="34"/>
    <n v="2.931"/>
    <s v="32.6"/>
    <n v="8"/>
    <n v="9"/>
    <s v="17"/>
    <s v="8"/>
    <s v="0"/>
    <s v="0"/>
    <s v="8"/>
    <s v="1"/>
    <s v="4.1"/>
    <s v="4.1"/>
    <s v="3.9"/>
    <n v="76"/>
    <n v="376"/>
    <s v="55"/>
    <s v="0.25"/>
    <s v="0.28"/>
    <s v="0.52"/>
    <s v="0.25"/>
    <s v="0.12"/>
    <s v="0.12"/>
  </r>
  <r>
    <x v="1"/>
    <s v="ENG"/>
    <x v="1"/>
    <s v="23"/>
    <n v="35"/>
    <n v="33"/>
    <n v="2.8570000000000002"/>
    <s v="31.7"/>
    <n v="19"/>
    <n v="8"/>
    <s v="27"/>
    <s v="19"/>
    <s v="0"/>
    <s v="0"/>
    <s v="2"/>
    <s v="0"/>
    <s v="10.3"/>
    <s v="10.3"/>
    <s v="8.4"/>
    <n v="93"/>
    <n v="168"/>
    <s v="269"/>
    <s v="0.60"/>
    <s v="0.25"/>
    <s v="0.85"/>
    <s v="0.60"/>
    <s v="0.33"/>
    <s v="0.26"/>
  </r>
  <r>
    <x v="2"/>
    <s v="BRA"/>
    <x v="2"/>
    <s v="29"/>
    <n v="33"/>
    <n v="33"/>
    <n v="2.7850000000000001"/>
    <s v="30.9"/>
    <n v="0"/>
    <n v="0"/>
    <s v="0"/>
    <s v="0"/>
    <s v="0"/>
    <s v="0"/>
    <s v="5"/>
    <s v="0"/>
    <s v="0.0"/>
    <s v="0.0"/>
    <s v="0.1"/>
    <n v="0"/>
    <n v="4"/>
    <s v="0"/>
    <s v="0.00"/>
    <s v="0.00"/>
    <s v="0.00"/>
    <s v="0.00"/>
    <s v="0.00"/>
    <s v="0.00"/>
  </r>
  <r>
    <x v="3"/>
    <s v="ARG"/>
    <x v="3"/>
    <s v="23"/>
    <n v="36"/>
    <n v="31"/>
    <n v="2.6469999999999998"/>
    <s v="29.4"/>
    <n v="11"/>
    <n v="8"/>
    <s v="19"/>
    <s v="9"/>
    <s v="2"/>
    <s v="2"/>
    <s v="2"/>
    <s v="0"/>
    <s v="13.0"/>
    <s v="11.5"/>
    <s v="6.4"/>
    <n v="64"/>
    <n v="103"/>
    <s v="180"/>
    <s v="0.37"/>
    <s v="0.27"/>
    <s v="0.65"/>
    <s v="0.31"/>
    <s v="0.44"/>
    <s v="0.22"/>
  </r>
  <r>
    <x v="4"/>
    <s v="ENG"/>
    <x v="4"/>
    <s v="33"/>
    <n v="32"/>
    <n v="30"/>
    <n v="2.7669999999999999"/>
    <s v="30.7"/>
    <n v="0"/>
    <n v="4"/>
    <s v="4"/>
    <s v="0"/>
    <s v="0"/>
    <s v="0"/>
    <s v="2"/>
    <s v="0"/>
    <s v="0.4"/>
    <s v="0.4"/>
    <s v="2.6"/>
    <n v="74"/>
    <n v="157"/>
    <s v="172"/>
    <s v="0.00"/>
    <s v="0.13"/>
    <s v="0.13"/>
    <s v="0.00"/>
    <s v="0.01"/>
    <s v="0.09"/>
  </r>
  <r>
    <x v="5"/>
    <s v="POR"/>
    <x v="3"/>
    <s v="28"/>
    <n v="33"/>
    <n v="29"/>
    <n v="2.5779999999999998"/>
    <s v="28.6"/>
    <n v="6"/>
    <n v="9"/>
    <s v="15"/>
    <s v="6"/>
    <s v="0"/>
    <s v="0"/>
    <s v="8"/>
    <s v="0"/>
    <s v="3.7"/>
    <s v="3.7"/>
    <s v="7.6"/>
    <n v="140"/>
    <n v="177"/>
    <s v="260"/>
    <s v="0.21"/>
    <s v="0.31"/>
    <s v="0.52"/>
    <s v="0.21"/>
    <s v="0.13"/>
    <s v="0.27"/>
  </r>
  <r>
    <x v="6"/>
    <s v="NOR"/>
    <x v="5"/>
    <s v="23"/>
    <n v="31"/>
    <n v="29"/>
    <n v="2.552"/>
    <s v="28.4"/>
    <n v="27"/>
    <n v="5"/>
    <s v="32"/>
    <s v="20"/>
    <s v="7"/>
    <s v="8"/>
    <s v="1"/>
    <s v="0"/>
    <s v="29.2"/>
    <s v="22.9"/>
    <s v="4.3"/>
    <n v="35"/>
    <n v="26"/>
    <s v="126"/>
    <s v="0.95"/>
    <s v="0.18"/>
    <s v="1.13"/>
    <s v="0.71"/>
    <s v="1.03"/>
    <s v="0.15"/>
  </r>
  <r>
    <x v="7"/>
    <s v="POR"/>
    <x v="4"/>
    <s v="26"/>
    <n v="30"/>
    <n v="28"/>
    <n v="2.5590000000000002"/>
    <s v="28.4"/>
    <n v="0"/>
    <n v="0"/>
    <s v="0"/>
    <s v="0"/>
    <s v="0"/>
    <s v="0"/>
    <s v="0"/>
    <s v="0"/>
    <s v="1.4"/>
    <s v="1.4"/>
    <s v="0.3"/>
    <n v="34"/>
    <n v="173"/>
    <s v="16"/>
    <s v="0.00"/>
    <s v="0.00"/>
    <s v="0.00"/>
    <s v="0.00"/>
    <s v="0.05"/>
    <s v="0.01"/>
  </r>
  <r>
    <x v="8"/>
    <s v="SUI"/>
    <x v="6"/>
    <s v="28"/>
    <n v="30"/>
    <n v="28"/>
    <n v="2.5110000000000001"/>
    <s v="27.9"/>
    <n v="2"/>
    <n v="0"/>
    <s v="2"/>
    <s v="2"/>
    <s v="0"/>
    <s v="0"/>
    <s v="4"/>
    <s v="1"/>
    <s v="1.9"/>
    <s v="1.9"/>
    <s v="0.5"/>
    <n v="46"/>
    <n v="148"/>
    <s v="36"/>
    <s v="0.07"/>
    <s v="0.00"/>
    <s v="0.07"/>
    <s v="0.07"/>
    <s v="0.07"/>
    <s v="0.02"/>
  </r>
  <r>
    <x v="9"/>
    <s v="CRO"/>
    <x v="4"/>
    <s v="21"/>
    <n v="28"/>
    <n v="26"/>
    <n v="2.3279999999999998"/>
    <s v="25.9"/>
    <n v="4"/>
    <n v="1"/>
    <s v="5"/>
    <s v="4"/>
    <s v="0"/>
    <s v="0"/>
    <s v="3"/>
    <s v="0"/>
    <s v="3.1"/>
    <s v="3.1"/>
    <s v="1.4"/>
    <n v="63"/>
    <n v="136"/>
    <s v="115"/>
    <s v="0.15"/>
    <s v="0.04"/>
    <s v="0.19"/>
    <s v="0.15"/>
    <s v="0.12"/>
    <s v="0.06"/>
  </r>
  <r>
    <x v="10"/>
    <s v="NED"/>
    <x v="4"/>
    <s v="28"/>
    <n v="29"/>
    <n v="24"/>
    <n v="2.0419999999999998"/>
    <s v="22.7"/>
    <n v="2"/>
    <n v="2"/>
    <s v="4"/>
    <s v="2"/>
    <s v="0"/>
    <s v="0"/>
    <s v="0"/>
    <s v="0"/>
    <s v="2.5"/>
    <s v="2.5"/>
    <s v="1.2"/>
    <n v="24"/>
    <n v="116"/>
    <s v="18"/>
    <s v="0.09"/>
    <s v="0.09"/>
    <s v="0.18"/>
    <s v="0.09"/>
    <s v="0.11"/>
    <s v="0.05"/>
  </r>
  <r>
    <x v="11"/>
    <s v="BEL"/>
    <x v="1"/>
    <s v="21"/>
    <n v="29"/>
    <n v="18"/>
    <n v="1.595"/>
    <s v="17.7"/>
    <n v="3"/>
    <n v="8"/>
    <s v="11"/>
    <s v="3"/>
    <s v="0"/>
    <s v="0"/>
    <s v="3"/>
    <s v="0"/>
    <s v="2.5"/>
    <s v="2.5"/>
    <s v="4.6"/>
    <n v="218"/>
    <n v="57"/>
    <s v="295"/>
    <s v="0.17"/>
    <s v="0.45"/>
    <s v="0.62"/>
    <s v="0.17"/>
    <s v="0.14"/>
    <s v="0.26"/>
  </r>
  <r>
    <x v="12"/>
    <s v="CRO"/>
    <x v="0"/>
    <s v="29"/>
    <n v="30"/>
    <n v="16"/>
    <n v="1.5509999999999999"/>
    <s v="17.2"/>
    <n v="1"/>
    <n v="0"/>
    <s v="1"/>
    <s v="1"/>
    <s v="0"/>
    <s v="0"/>
    <s v="4"/>
    <s v="0"/>
    <s v="1.3"/>
    <s v="1.3"/>
    <s v="1.6"/>
    <n v="37"/>
    <n v="100"/>
    <s v="38"/>
    <s v="0.06"/>
    <s v="0.00"/>
    <s v="0.06"/>
    <s v="0.06"/>
    <s v="0.07"/>
    <s v="0.09"/>
  </r>
  <r>
    <x v="13"/>
    <s v="BEL"/>
    <x v="0"/>
    <s v="32"/>
    <n v="18"/>
    <n v="15"/>
    <n v="1.2210000000000001"/>
    <s v="13.6"/>
    <n v="4"/>
    <n v="10"/>
    <s v="14"/>
    <s v="4"/>
    <s v="0"/>
    <s v="0"/>
    <s v="2"/>
    <s v="0"/>
    <s v="2.4"/>
    <s v="2.4"/>
    <s v="11.5"/>
    <n v="47"/>
    <n v="111"/>
    <s v="133"/>
    <s v="0.29"/>
    <s v="0.74"/>
    <s v="1.03"/>
    <s v="0.29"/>
    <s v="0.18"/>
    <s v="0.85"/>
  </r>
  <r>
    <x v="14"/>
    <s v="ENG"/>
    <x v="6"/>
    <s v="29"/>
    <n v="16"/>
    <n v="12"/>
    <n v="1.0640000000000001"/>
    <s v="11.8"/>
    <n v="1"/>
    <n v="0"/>
    <s v="1"/>
    <s v="1"/>
    <s v="0"/>
    <s v="0"/>
    <s v="2"/>
    <s v="0"/>
    <s v="1.0"/>
    <s v="1.0"/>
    <s v="0.2"/>
    <n v="16"/>
    <n v="57"/>
    <s v="24"/>
    <s v="0.08"/>
    <s v="0.00"/>
    <s v="0.08"/>
    <s v="0.08"/>
    <s v="0.09"/>
    <s v="0.02"/>
  </r>
  <r>
    <x v="15"/>
    <s v="ENG"/>
    <x v="1"/>
    <s v="27"/>
    <n v="20"/>
    <n v="10"/>
    <n v="1.0089999999999999"/>
    <s v="11.2"/>
    <n v="3"/>
    <n v="1"/>
    <s v="4"/>
    <s v="3"/>
    <s v="0"/>
    <s v="0"/>
    <s v="6"/>
    <s v="0"/>
    <s v="2.1"/>
    <s v="2.1"/>
    <s v="2.5"/>
    <n v="87"/>
    <n v="50"/>
    <s v="146"/>
    <s v="0.27"/>
    <s v="0.09"/>
    <s v="0.36"/>
    <s v="0.27"/>
    <s v="0.19"/>
    <s v="0.22"/>
  </r>
  <r>
    <x v="16"/>
    <s v="ENG"/>
    <x v="6"/>
    <s v="18"/>
    <n v="16"/>
    <n v="8"/>
    <n v="809"/>
    <s v="9.0"/>
    <n v="2"/>
    <n v="0"/>
    <s v="2"/>
    <s v="2"/>
    <s v="0"/>
    <s v="0"/>
    <s v="1"/>
    <s v="0"/>
    <s v="0.6"/>
    <s v="0.6"/>
    <s v="1.1"/>
    <n v="21"/>
    <n v="33"/>
    <s v="46"/>
    <s v="0.22"/>
    <s v="0.00"/>
    <s v="0.22"/>
    <s v="0.22"/>
    <s v="0.07"/>
    <s v="0.12"/>
  </r>
  <r>
    <x v="17"/>
    <s v="POR"/>
    <x v="0"/>
    <s v="24"/>
    <n v="17"/>
    <n v="7"/>
    <n v="661"/>
    <s v="7.3"/>
    <n v="0"/>
    <n v="2"/>
    <s v="2"/>
    <s v="0"/>
    <s v="0"/>
    <s v="0"/>
    <s v="0"/>
    <s v="0"/>
    <s v="0.8"/>
    <s v="0.8"/>
    <s v="1.1"/>
    <n v="28"/>
    <n v="34"/>
    <s v="58"/>
    <s v="0.00"/>
    <s v="0.27"/>
    <s v="0.27"/>
    <s v="0.00"/>
    <s v="0.11"/>
    <s v="0.15"/>
  </r>
  <r>
    <x v="18"/>
    <s v="GER"/>
    <x v="2"/>
    <s v="30"/>
    <n v="9"/>
    <n v="5"/>
    <n v="635"/>
    <s v="7.1"/>
    <n v="0"/>
    <n v="0"/>
    <s v="0"/>
    <s v="0"/>
    <s v="0"/>
    <s v="0"/>
    <s v="0"/>
    <s v="0"/>
    <s v="0.0"/>
    <s v="0.0"/>
    <s v="0.0"/>
    <n v="0"/>
    <n v="0"/>
    <s v="0"/>
    <s v="0.00"/>
    <s v="0.00"/>
    <s v="0.00"/>
    <s v="0.00"/>
    <s v="0.00"/>
    <s v="0.00"/>
  </r>
  <r>
    <x v="19"/>
    <s v="NOR"/>
    <x v="1"/>
    <s v="20"/>
    <n v="14"/>
    <n v="2"/>
    <n v="302"/>
    <s v="3.4"/>
    <n v="1"/>
    <n v="1"/>
    <s v="2"/>
    <s v="1"/>
    <s v="0"/>
    <s v="0"/>
    <s v="0"/>
    <s v="0"/>
    <s v="1.4"/>
    <s v="1.4"/>
    <s v="1.2"/>
    <n v="13"/>
    <n v="25"/>
    <s v="38"/>
    <s v="0.30"/>
    <s v="0.30"/>
    <s v="0.60"/>
    <s v="0.30"/>
    <s v="0.41"/>
    <s v="0.37"/>
  </r>
  <r>
    <x v="20"/>
    <s v="ENG"/>
    <x v="0"/>
    <s v="27"/>
    <n v="4"/>
    <n v="0"/>
    <n v="93"/>
    <s v="1.0"/>
    <n v="0"/>
    <n v="0"/>
    <s v="0"/>
    <s v="0"/>
    <s v="0"/>
    <s v="0"/>
    <s v="0"/>
    <s v="0"/>
    <s v="0.1"/>
    <s v="0.1"/>
    <s v="0.0"/>
    <n v="7"/>
    <n v="7"/>
    <s v="3"/>
    <s v="0.00"/>
    <s v="0.00"/>
    <s v="0.00"/>
    <s v="0.00"/>
    <s v="0.07"/>
    <s v="0.00"/>
  </r>
  <r>
    <x v="21"/>
    <s v="ESP"/>
    <x v="1"/>
    <s v="22"/>
    <n v="6"/>
    <n v="0"/>
    <n v="53"/>
    <s v="0.6"/>
    <n v="0"/>
    <n v="1"/>
    <s v="1"/>
    <s v="0"/>
    <s v="0"/>
    <s v="0"/>
    <s v="0"/>
    <s v="0"/>
    <s v="0.2"/>
    <s v="0.2"/>
    <s v="0.2"/>
    <n v="4"/>
    <n v="2"/>
    <s v="4"/>
    <s v="0.00"/>
    <s v="1.70"/>
    <s v="1.70"/>
    <s v="0.00"/>
    <s v="0.41"/>
    <s v="0.31"/>
  </r>
  <r>
    <x v="22"/>
    <s v="ESP"/>
    <x v="4"/>
    <s v="29"/>
    <n v="1"/>
    <n v="0"/>
    <n v="12"/>
    <s v="0.1"/>
    <n v="0"/>
    <n v="0"/>
    <s v="0"/>
    <s v="0"/>
    <s v="0"/>
    <s v="0"/>
    <s v="0"/>
    <s v="0"/>
    <s v="0.0"/>
    <s v="0.0"/>
    <s v="0.0"/>
    <n v="0"/>
    <n v="0"/>
    <s v="0"/>
    <s v="0.00"/>
    <s v="0.00"/>
    <s v="0.00"/>
    <s v="0.00"/>
    <s v="0.27"/>
    <s v="0.00"/>
  </r>
  <r>
    <x v="23"/>
    <s v="ENG"/>
    <x v="0"/>
    <s v="21"/>
    <n v="1"/>
    <n v="0"/>
    <n v="11"/>
    <s v="0.1"/>
    <n v="0"/>
    <n v="0"/>
    <s v="0"/>
    <s v="0"/>
    <s v="0"/>
    <s v="0"/>
    <s v="0"/>
    <s v="0"/>
    <s v="0.0"/>
    <s v="0.0"/>
    <s v="0.0"/>
    <n v="0"/>
    <n v="0"/>
    <s v="0"/>
    <s v="0.00"/>
    <s v="0.00"/>
    <s v="0.00"/>
    <s v="0.00"/>
    <s v="0.00"/>
    <s v="0.00"/>
  </r>
  <r>
    <x v="24"/>
    <s v="ENG"/>
    <x v="0"/>
    <s v="20"/>
    <n v="1"/>
    <n v="0"/>
    <n v="1"/>
    <s v="0.0"/>
    <n v="0"/>
    <n v="0"/>
    <s v="0"/>
    <s v="0"/>
    <s v="0"/>
    <s v="0"/>
    <s v="0"/>
    <s v="0"/>
    <s v="0.0"/>
    <s v="0.0"/>
    <s v="0.0"/>
    <n v="0"/>
    <n v="0"/>
    <s v="0"/>
    <s v="0.00"/>
    <s v="0.00"/>
    <s v="0.00"/>
    <s v="0.00"/>
    <s v="0.00"/>
    <s v="0.00"/>
  </r>
  <r>
    <x v="25"/>
    <s v="ENG"/>
    <x v="2"/>
    <s v="37"/>
    <n v="0"/>
    <n v="0"/>
    <s v=""/>
    <s v=""/>
    <m/>
    <m/>
    <s v=""/>
    <s v=""/>
    <s v=""/>
    <s v=""/>
    <s v=""/>
    <s v=""/>
    <s v=""/>
    <s v=""/>
    <s v=""/>
    <m/>
    <e v="#VALUE!"/>
    <s v=""/>
    <s v=""/>
    <s v=""/>
    <s v=""/>
    <s v=""/>
    <s v=""/>
    <s v=""/>
  </r>
  <r>
    <x v="26"/>
    <s v="ENG"/>
    <x v="0"/>
    <s v="19"/>
    <n v="0"/>
    <n v="0"/>
    <s v=""/>
    <s v=""/>
    <m/>
    <m/>
    <s v=""/>
    <s v=""/>
    <s v=""/>
    <s v=""/>
    <s v=""/>
    <s v=""/>
    <s v=""/>
    <s v=""/>
    <s v=""/>
    <m/>
    <e v="#VALUE!"/>
    <s v=""/>
    <s v=""/>
    <s v=""/>
    <s v=""/>
    <s v=""/>
    <s v=""/>
    <s v=""/>
  </r>
  <r>
    <x v="27"/>
    <s v="ARG"/>
    <x v="0"/>
    <s v="20"/>
    <n v="0"/>
    <n v="0"/>
    <s v=""/>
    <s v=""/>
    <m/>
    <m/>
    <s v=""/>
    <s v=""/>
    <s v=""/>
    <s v=""/>
    <s v=""/>
    <s v=""/>
    <s v=""/>
    <s v=""/>
    <s v=""/>
    <m/>
    <e v="#VALUE!"/>
    <s v=""/>
    <s v=""/>
    <s v=""/>
    <s v=""/>
    <s v=""/>
    <s v=""/>
    <s v=""/>
  </r>
  <r>
    <x v="28"/>
    <s v="ESP"/>
    <x v="4"/>
    <s v="18"/>
    <n v="0"/>
    <n v="0"/>
    <s v=""/>
    <s v=""/>
    <m/>
    <m/>
    <s v=""/>
    <s v=""/>
    <s v=""/>
    <s v=""/>
    <s v=""/>
    <s v=""/>
    <s v=""/>
    <s v=""/>
    <s v=""/>
    <m/>
    <e v="#VALUE!"/>
    <s v=""/>
    <s v=""/>
    <s v=""/>
    <s v=""/>
    <s v=""/>
    <s v=""/>
    <s v=""/>
  </r>
  <r>
    <x v="29"/>
    <s v="ENG"/>
    <x v="0"/>
    <s v="17"/>
    <n v="0"/>
    <n v="0"/>
    <s v=""/>
    <s v=""/>
    <m/>
    <m/>
    <s v=""/>
    <s v=""/>
    <s v=""/>
    <s v=""/>
    <s v=""/>
    <s v=""/>
    <s v=""/>
    <s v=""/>
    <s v=""/>
    <m/>
    <e v="#VALUE!"/>
    <s v=""/>
    <s v=""/>
    <s v="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NOR"/>
    <x v="0"/>
    <n v="187"/>
    <n v="288"/>
    <n v="2275"/>
    <n v="130"/>
    <n v="188"/>
    <n v="40"/>
    <n v="61"/>
    <n v="4"/>
    <n v="6"/>
    <n v="2"/>
    <s v="1.3"/>
    <n v="22"/>
    <n v="8"/>
    <n v="5"/>
    <n v="1"/>
    <n v="15"/>
  </r>
  <r>
    <x v="1"/>
    <s v="CRO"/>
    <x v="1"/>
    <n v="1515"/>
    <n v="1669"/>
    <n v="23609"/>
    <n v="797"/>
    <n v="845"/>
    <n v="647"/>
    <n v="699"/>
    <n v="52"/>
    <n v="79"/>
    <n v="0"/>
    <s v="2.2"/>
    <n v="18"/>
    <n v="139"/>
    <n v="17"/>
    <n v="1"/>
    <n v="163"/>
  </r>
  <r>
    <x v="2"/>
    <s v="POR"/>
    <x v="2"/>
    <n v="1038"/>
    <n v="1203"/>
    <n v="15704"/>
    <n v="588"/>
    <n v="639"/>
    <n v="378"/>
    <n v="435"/>
    <n v="51"/>
    <n v="78"/>
    <n v="4"/>
    <s v="3.3"/>
    <n v="38"/>
    <n v="55"/>
    <n v="21"/>
    <n v="6"/>
    <n v="89"/>
  </r>
  <r>
    <x v="3"/>
    <s v="SUI"/>
    <x v="1"/>
    <n v="1389"/>
    <n v="1479"/>
    <n v="22799"/>
    <n v="666"/>
    <n v="694"/>
    <n v="641"/>
    <n v="671"/>
    <n v="68"/>
    <n v="92"/>
    <n v="0"/>
    <s v="1.1"/>
    <n v="9"/>
    <n v="149"/>
    <n v="11"/>
    <n v="2"/>
    <n v="135"/>
  </r>
  <r>
    <x v="4"/>
    <s v="CRO"/>
    <x v="3"/>
    <n v="1221"/>
    <n v="1309"/>
    <n v="18740"/>
    <n v="663"/>
    <n v="696"/>
    <n v="500"/>
    <n v="524"/>
    <n v="43"/>
    <n v="60"/>
    <n v="1"/>
    <s v="2.5"/>
    <n v="26"/>
    <n v="133"/>
    <n v="20"/>
    <n v="0"/>
    <n v="109"/>
  </r>
  <r>
    <x v="5"/>
    <s v="ENG"/>
    <x v="4"/>
    <n v="832"/>
    <n v="903"/>
    <n v="11874"/>
    <n v="512"/>
    <n v="541"/>
    <n v="286"/>
    <n v="304"/>
    <n v="23"/>
    <n v="31"/>
    <n v="2"/>
    <s v="0.8"/>
    <n v="7"/>
    <n v="69"/>
    <n v="13"/>
    <n v="0"/>
    <n v="80"/>
  </r>
  <r>
    <x v="6"/>
    <s v="ENG"/>
    <x v="2"/>
    <n v="626"/>
    <n v="737"/>
    <n v="9840"/>
    <n v="369"/>
    <n v="404"/>
    <n v="192"/>
    <n v="214"/>
    <n v="54"/>
    <n v="87"/>
    <n v="2"/>
    <s v="4.8"/>
    <n v="35"/>
    <n v="34"/>
    <n v="33"/>
    <n v="5"/>
    <n v="81"/>
  </r>
  <r>
    <x v="7"/>
    <s v="BRA"/>
    <x v="5"/>
    <n v="482"/>
    <n v="559"/>
    <n v="11861"/>
    <n v="90"/>
    <n v="90"/>
    <n v="278"/>
    <n v="284"/>
    <n v="112"/>
    <n v="182"/>
    <n v="2"/>
    <s v="0.0"/>
    <n v="2"/>
    <n v="14"/>
    <n v="1"/>
    <n v="0"/>
    <n v="1"/>
  </r>
  <r>
    <x v="8"/>
    <s v="GER"/>
    <x v="3"/>
    <n v="956"/>
    <n v="1075"/>
    <n v="14655"/>
    <n v="540"/>
    <n v="573"/>
    <n v="340"/>
    <n v="364"/>
    <n v="55"/>
    <n v="97"/>
    <n v="1"/>
    <s v="2.9"/>
    <n v="24"/>
    <n v="63"/>
    <n v="15"/>
    <n v="1"/>
    <n v="87"/>
  </r>
  <r>
    <x v="9"/>
    <s v="BRA"/>
    <x v="6"/>
    <n v="458"/>
    <n v="574"/>
    <n v="6644"/>
    <n v="297"/>
    <n v="331"/>
    <n v="130"/>
    <n v="170"/>
    <n v="22"/>
    <n v="39"/>
    <n v="6"/>
    <s v="5.1"/>
    <n v="31"/>
    <n v="11"/>
    <n v="40"/>
    <n v="8"/>
    <n v="52"/>
  </r>
  <r>
    <x v="10"/>
    <s v="POR"/>
    <x v="1"/>
    <n v="1141"/>
    <n v="1215"/>
    <n v="19406"/>
    <n v="489"/>
    <n v="505"/>
    <n v="579"/>
    <n v="606"/>
    <n v="56"/>
    <n v="75"/>
    <n v="0"/>
    <s v="0.7"/>
    <n v="5"/>
    <n v="106"/>
    <n v="5"/>
    <n v="0"/>
    <n v="78"/>
  </r>
  <r>
    <x v="11"/>
    <s v="BEL"/>
    <x v="3"/>
    <n v="589"/>
    <n v="764"/>
    <n v="9990"/>
    <n v="300"/>
    <n v="350"/>
    <n v="232"/>
    <n v="292"/>
    <n v="51"/>
    <n v="84"/>
    <n v="6"/>
    <s v="4.5"/>
    <n v="39"/>
    <n v="55"/>
    <n v="42"/>
    <n v="8"/>
    <n v="106"/>
  </r>
  <r>
    <x v="12"/>
    <s v="POR"/>
    <x v="4"/>
    <n v="503"/>
    <n v="600"/>
    <n v="7759"/>
    <n v="285"/>
    <n v="318"/>
    <n v="182"/>
    <n v="216"/>
    <n v="29"/>
    <n v="42"/>
    <n v="4"/>
    <s v="2.1"/>
    <n v="18"/>
    <n v="16"/>
    <n v="19"/>
    <n v="6"/>
    <n v="34"/>
  </r>
  <r>
    <x v="13"/>
    <s v="ENG"/>
    <x v="1"/>
    <n v="724"/>
    <n v="826"/>
    <n v="11928"/>
    <n v="367"/>
    <n v="388"/>
    <n v="305"/>
    <n v="334"/>
    <n v="42"/>
    <n v="82"/>
    <n v="0"/>
    <s v="1.3"/>
    <n v="7"/>
    <n v="63"/>
    <n v="7"/>
    <n v="4"/>
    <n v="64"/>
  </r>
  <r>
    <x v="14"/>
    <s v="GER"/>
    <x v="5"/>
    <n v="280"/>
    <n v="333"/>
    <n v="6128"/>
    <n v="85"/>
    <n v="87"/>
    <n v="135"/>
    <n v="138"/>
    <n v="58"/>
    <n v="104"/>
    <n v="0"/>
    <s v="0.0"/>
    <n v="0"/>
    <n v="3"/>
    <n v="0"/>
    <n v="0"/>
    <n v="0"/>
  </r>
  <r>
    <x v="15"/>
    <s v="BEL"/>
    <x v="6"/>
    <n v="311"/>
    <n v="391"/>
    <n v="4358"/>
    <n v="207"/>
    <n v="241"/>
    <n v="95"/>
    <n v="116"/>
    <n v="7"/>
    <n v="11"/>
    <n v="4"/>
    <s v="1.8"/>
    <n v="16"/>
    <n v="3"/>
    <n v="28"/>
    <n v="3"/>
    <n v="36"/>
  </r>
  <r>
    <x v="16"/>
    <s v="NED"/>
    <x v="1"/>
    <n v="439"/>
    <n v="469"/>
    <n v="7148"/>
    <n v="216"/>
    <n v="221"/>
    <n v="202"/>
    <n v="208"/>
    <n v="17"/>
    <n v="29"/>
    <n v="0"/>
    <s v="0.1"/>
    <n v="0"/>
    <n v="32"/>
    <n v="1"/>
    <n v="0"/>
    <n v="39"/>
  </r>
  <r>
    <x v="17"/>
    <s v="ENG"/>
    <x v="6"/>
    <n v="321"/>
    <n v="369"/>
    <n v="4826"/>
    <n v="206"/>
    <n v="221"/>
    <n v="101"/>
    <n v="115"/>
    <n v="13"/>
    <n v="21"/>
    <n v="1"/>
    <s v="1.5"/>
    <n v="22"/>
    <n v="16"/>
    <n v="13"/>
    <n v="0"/>
    <n v="43"/>
  </r>
  <r>
    <x v="18"/>
    <s v="ENG"/>
    <x v="4"/>
    <n v="321"/>
    <n v="354"/>
    <n v="5568"/>
    <n v="151"/>
    <n v="160"/>
    <n v="136"/>
    <n v="148"/>
    <n v="28"/>
    <n v="36"/>
    <n v="0"/>
    <s v="0.2"/>
    <n v="2"/>
    <n v="40"/>
    <n v="0"/>
    <n v="0"/>
    <n v="20"/>
  </r>
  <r>
    <x v="19"/>
    <s v="EGY"/>
    <x v="6"/>
    <n v="32"/>
    <n v="40"/>
    <n v="449"/>
    <n v="22"/>
    <n v="26"/>
    <n v="6"/>
    <n v="7"/>
    <n v="3"/>
    <n v="4"/>
    <n v="0"/>
    <s v="0.4"/>
    <n v="4"/>
    <n v="1"/>
    <n v="3"/>
    <n v="1"/>
    <n v="3"/>
  </r>
  <r>
    <x v="20"/>
    <s v="ENG"/>
    <x v="1"/>
    <n v="107"/>
    <n v="115"/>
    <n v="1754"/>
    <n v="47"/>
    <n v="49"/>
    <n v="57"/>
    <n v="59"/>
    <n v="3"/>
    <n v="7"/>
    <n v="0"/>
    <s v="0.0"/>
    <n v="0"/>
    <n v="3"/>
    <n v="0"/>
    <n v="0"/>
    <n v="3"/>
  </r>
  <r>
    <x v="21"/>
    <s v="ESP"/>
    <x v="3"/>
    <n v="57"/>
    <n v="61"/>
    <n v="1056"/>
    <n v="25"/>
    <n v="26"/>
    <n v="24"/>
    <n v="27"/>
    <n v="7"/>
    <n v="7"/>
    <n v="0"/>
    <s v="0.1"/>
    <n v="1"/>
    <n v="3"/>
    <n v="1"/>
    <n v="0"/>
    <n v="4"/>
  </r>
  <r>
    <x v="22"/>
    <s v="UZB"/>
    <x v="1"/>
    <n v="41"/>
    <n v="48"/>
    <n v="707"/>
    <n v="17"/>
    <n v="20"/>
    <n v="22"/>
    <n v="24"/>
    <n v="1"/>
    <n v="3"/>
    <n v="0"/>
    <s v="0.0"/>
    <n v="0"/>
    <n v="0"/>
    <n v="0"/>
    <n v="0"/>
    <n v="2"/>
  </r>
  <r>
    <x v="23"/>
    <s v="ENG"/>
    <x v="2"/>
    <n v="40"/>
    <n v="47"/>
    <n v="620"/>
    <n v="21"/>
    <n v="25"/>
    <n v="18"/>
    <n v="20"/>
    <n v="1"/>
    <n v="2"/>
    <n v="0"/>
    <s v="0.0"/>
    <n v="0"/>
    <n v="3"/>
    <n v="0"/>
    <n v="0"/>
    <n v="3"/>
  </r>
  <r>
    <x v="24"/>
    <s v="ENG"/>
    <x v="0"/>
    <n v="2"/>
    <n v="3"/>
    <n v="44"/>
    <n v="1"/>
    <n v="1"/>
    <n v="0"/>
    <n v="0"/>
    <n v="1"/>
    <n v="1"/>
    <n v="0"/>
    <s v="0.0"/>
    <n v="0"/>
    <n v="0"/>
    <n v="0"/>
    <n v="0"/>
    <n v="1"/>
  </r>
  <r>
    <x v="25"/>
    <s v="ENG"/>
    <x v="3"/>
    <n v="11"/>
    <n v="12"/>
    <n v="135"/>
    <n v="9"/>
    <n v="9"/>
    <n v="2"/>
    <n v="3"/>
    <n v="0"/>
    <n v="0"/>
    <n v="0"/>
    <s v="0.0"/>
    <n v="0"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ESP"/>
    <x v="0"/>
    <n v="3365"/>
    <n v="3656"/>
    <n v="57256"/>
    <n v="1676"/>
    <n v="1774"/>
    <n v="1273"/>
    <n v="1360"/>
    <n v="340"/>
    <n v="401"/>
    <n v="9"/>
    <s v="6.1"/>
    <n v="49"/>
    <n v="378"/>
    <n v="61"/>
    <n v="0"/>
    <n v="376"/>
  </r>
  <r>
    <x v="1"/>
    <s v="ENG"/>
    <x v="1"/>
    <n v="1511"/>
    <n v="1767"/>
    <n v="20347"/>
    <n v="990"/>
    <n v="1053"/>
    <n v="388"/>
    <n v="449"/>
    <n v="68"/>
    <n v="135"/>
    <n v="8"/>
    <s v="6.9"/>
    <n v="73"/>
    <n v="71"/>
    <n v="57"/>
    <n v="5"/>
    <n v="168"/>
  </r>
  <r>
    <x v="2"/>
    <s v="BRA"/>
    <x v="2"/>
    <n v="1077"/>
    <n v="1234"/>
    <n v="25898"/>
    <n v="275"/>
    <n v="276"/>
    <n v="560"/>
    <n v="570"/>
    <n v="239"/>
    <n v="381"/>
    <n v="0"/>
    <s v="0.1"/>
    <n v="1"/>
    <n v="25"/>
    <n v="1"/>
    <n v="0"/>
    <n v="4"/>
  </r>
  <r>
    <x v="3"/>
    <s v="ARG"/>
    <x v="3"/>
    <n v="1011"/>
    <n v="1258"/>
    <n v="13977"/>
    <n v="615"/>
    <n v="679"/>
    <n v="272"/>
    <n v="328"/>
    <n v="58"/>
    <n v="145"/>
    <n v="8"/>
    <s v="6.3"/>
    <n v="67"/>
    <n v="43"/>
    <n v="41"/>
    <n v="4"/>
    <n v="103"/>
  </r>
  <r>
    <x v="4"/>
    <s v="ENG"/>
    <x v="4"/>
    <n v="2128"/>
    <n v="2404"/>
    <n v="36091"/>
    <n v="992"/>
    <n v="1057"/>
    <n v="932"/>
    <n v="1020"/>
    <n v="166"/>
    <n v="246"/>
    <n v="4"/>
    <s v="3.2"/>
    <n v="25"/>
    <n v="199"/>
    <n v="32"/>
    <n v="13"/>
    <n v="157"/>
  </r>
  <r>
    <x v="5"/>
    <s v="POR"/>
    <x v="3"/>
    <n v="1671"/>
    <n v="1936"/>
    <n v="25138"/>
    <n v="993"/>
    <n v="1052"/>
    <n v="534"/>
    <n v="620"/>
    <n v="106"/>
    <n v="158"/>
    <n v="9"/>
    <s v="8.0"/>
    <n v="64"/>
    <n v="100"/>
    <n v="49"/>
    <n v="10"/>
    <n v="177"/>
  </r>
  <r>
    <x v="6"/>
    <s v="NOR"/>
    <x v="5"/>
    <n v="295"/>
    <n v="388"/>
    <n v="3234"/>
    <n v="197"/>
    <n v="242"/>
    <n v="56"/>
    <n v="70"/>
    <n v="5"/>
    <n v="8"/>
    <n v="5"/>
    <s v="2.2"/>
    <n v="29"/>
    <n v="16"/>
    <n v="11"/>
    <n v="0"/>
    <n v="26"/>
  </r>
  <r>
    <x v="7"/>
    <s v="POR"/>
    <x v="4"/>
    <n v="2469"/>
    <n v="2635"/>
    <n v="42764"/>
    <n v="1039"/>
    <n v="1076"/>
    <n v="1256"/>
    <n v="1306"/>
    <n v="146"/>
    <n v="204"/>
    <n v="0"/>
    <s v="1.9"/>
    <n v="7"/>
    <n v="220"/>
    <n v="12"/>
    <n v="3"/>
    <n v="173"/>
  </r>
  <r>
    <x v="8"/>
    <s v="SUI"/>
    <x v="6"/>
    <n v="2180"/>
    <n v="2334"/>
    <n v="35688"/>
    <n v="1091"/>
    <n v="1136"/>
    <n v="923"/>
    <n v="975"/>
    <n v="126"/>
    <n v="163"/>
    <n v="0"/>
    <s v="1.8"/>
    <n v="13"/>
    <n v="214"/>
    <n v="15"/>
    <n v="2"/>
    <n v="148"/>
  </r>
  <r>
    <x v="9"/>
    <s v="CRO"/>
    <x v="4"/>
    <n v="1671"/>
    <n v="1919"/>
    <n v="25207"/>
    <n v="931"/>
    <n v="1010"/>
    <n v="618"/>
    <n v="695"/>
    <n v="77"/>
    <n v="107"/>
    <n v="1"/>
    <s v="2.1"/>
    <n v="18"/>
    <n v="141"/>
    <n v="16"/>
    <n v="3"/>
    <n v="136"/>
  </r>
  <r>
    <x v="10"/>
    <s v="NED"/>
    <x v="4"/>
    <n v="1716"/>
    <n v="1864"/>
    <n v="26189"/>
    <n v="882"/>
    <n v="921"/>
    <n v="750"/>
    <n v="796"/>
    <n v="43"/>
    <n v="85"/>
    <n v="2"/>
    <s v="1.1"/>
    <n v="10"/>
    <n v="148"/>
    <n v="5"/>
    <n v="1"/>
    <n v="116"/>
  </r>
  <r>
    <x v="11"/>
    <s v="BEL"/>
    <x v="1"/>
    <n v="693"/>
    <n v="852"/>
    <n v="9699"/>
    <n v="452"/>
    <n v="507"/>
    <n v="198"/>
    <n v="254"/>
    <n v="26"/>
    <n v="33"/>
    <n v="8"/>
    <s v="5.9"/>
    <n v="45"/>
    <n v="14"/>
    <n v="40"/>
    <n v="7"/>
    <n v="57"/>
  </r>
  <r>
    <x v="12"/>
    <s v="CRO"/>
    <x v="0"/>
    <n v="1435"/>
    <n v="1527"/>
    <n v="20506"/>
    <n v="835"/>
    <n v="862"/>
    <n v="514"/>
    <n v="544"/>
    <n v="41"/>
    <n v="57"/>
    <n v="0"/>
    <s v="1.9"/>
    <n v="21"/>
    <n v="120"/>
    <n v="15"/>
    <n v="0"/>
    <n v="100"/>
  </r>
  <r>
    <x v="13"/>
    <s v="BEL"/>
    <x v="0"/>
    <n v="732"/>
    <n v="971"/>
    <n v="11555"/>
    <n v="426"/>
    <n v="481"/>
    <n v="223"/>
    <n v="293"/>
    <n v="66"/>
    <n v="134"/>
    <n v="10"/>
    <s v="7.1"/>
    <n v="59"/>
    <n v="67"/>
    <n v="56"/>
    <n v="12"/>
    <n v="111"/>
  </r>
  <r>
    <x v="14"/>
    <s v="ENG"/>
    <x v="6"/>
    <n v="781"/>
    <n v="839"/>
    <n v="12375"/>
    <n v="402"/>
    <n v="426"/>
    <n v="322"/>
    <n v="335"/>
    <n v="41"/>
    <n v="54"/>
    <n v="0"/>
    <s v="0.4"/>
    <n v="6"/>
    <n v="53"/>
    <n v="1"/>
    <n v="0"/>
    <n v="57"/>
  </r>
  <r>
    <x v="15"/>
    <s v="ENG"/>
    <x v="1"/>
    <n v="499"/>
    <n v="580"/>
    <n v="7032"/>
    <n v="302"/>
    <n v="329"/>
    <n v="156"/>
    <n v="174"/>
    <n v="23"/>
    <n v="32"/>
    <n v="1"/>
    <s v="2.8"/>
    <n v="26"/>
    <n v="15"/>
    <n v="25"/>
    <n v="0"/>
    <n v="50"/>
  </r>
  <r>
    <x v="16"/>
    <s v="ENG"/>
    <x v="6"/>
    <n v="518"/>
    <n v="568"/>
    <n v="7100"/>
    <n v="339"/>
    <n v="351"/>
    <n v="159"/>
    <n v="170"/>
    <n v="12"/>
    <n v="20"/>
    <n v="0"/>
    <s v="1.2"/>
    <n v="13"/>
    <n v="29"/>
    <n v="9"/>
    <n v="0"/>
    <n v="33"/>
  </r>
  <r>
    <x v="17"/>
    <s v="POR"/>
    <x v="0"/>
    <n v="373"/>
    <n v="443"/>
    <n v="5054"/>
    <n v="233"/>
    <n v="255"/>
    <n v="115"/>
    <n v="133"/>
    <n v="11"/>
    <n v="23"/>
    <n v="2"/>
    <s v="1.5"/>
    <n v="9"/>
    <n v="23"/>
    <n v="16"/>
    <n v="2"/>
    <n v="34"/>
  </r>
  <r>
    <x v="18"/>
    <s v="GER"/>
    <x v="2"/>
    <n v="213"/>
    <n v="266"/>
    <n v="4942"/>
    <n v="58"/>
    <n v="58"/>
    <n v="108"/>
    <n v="110"/>
    <n v="46"/>
    <n v="96"/>
    <n v="0"/>
    <s v="0.0"/>
    <n v="0"/>
    <n v="2"/>
    <n v="0"/>
    <n v="0"/>
    <n v="0"/>
  </r>
  <r>
    <x v="19"/>
    <s v="NOR"/>
    <x v="1"/>
    <n v="155"/>
    <n v="177"/>
    <n v="2056"/>
    <n v="101"/>
    <n v="107"/>
    <n v="44"/>
    <n v="51"/>
    <n v="4"/>
    <n v="4"/>
    <n v="1"/>
    <s v="1.3"/>
    <n v="9"/>
    <n v="3"/>
    <n v="19"/>
    <n v="1"/>
    <n v="25"/>
  </r>
  <r>
    <x v="20"/>
    <s v="ENG"/>
    <x v="0"/>
    <n v="62"/>
    <n v="70"/>
    <n v="1067"/>
    <n v="31"/>
    <n v="32"/>
    <n v="24"/>
    <n v="26"/>
    <n v="7"/>
    <n v="10"/>
    <n v="0"/>
    <s v="0.1"/>
    <n v="0"/>
    <n v="8"/>
    <n v="1"/>
    <n v="1"/>
    <n v="7"/>
  </r>
  <r>
    <x v="21"/>
    <s v="ESP"/>
    <x v="1"/>
    <n v="46"/>
    <n v="54"/>
    <n v="636"/>
    <n v="29"/>
    <n v="31"/>
    <n v="15"/>
    <n v="17"/>
    <n v="1"/>
    <n v="2"/>
    <n v="1"/>
    <s v="0.2"/>
    <n v="1"/>
    <n v="1"/>
    <n v="2"/>
    <n v="1"/>
    <n v="2"/>
  </r>
  <r>
    <x v="22"/>
    <s v="ESP"/>
    <x v="4"/>
    <n v="11"/>
    <n v="11"/>
    <n v="202"/>
    <n v="4"/>
    <n v="4"/>
    <n v="7"/>
    <n v="7"/>
    <n v="0"/>
    <n v="0"/>
    <n v="0"/>
    <s v="0.0"/>
    <n v="0"/>
    <n v="0"/>
    <n v="0"/>
    <n v="0"/>
    <n v="0"/>
  </r>
  <r>
    <x v="23"/>
    <s v="ENG"/>
    <x v="0"/>
    <n v="4"/>
    <n v="5"/>
    <n v="51"/>
    <n v="2"/>
    <n v="2"/>
    <n v="2"/>
    <n v="3"/>
    <n v="0"/>
    <n v="0"/>
    <n v="0"/>
    <s v="0.0"/>
    <n v="0"/>
    <n v="0"/>
    <n v="0"/>
    <n v="0"/>
    <n v="0"/>
  </r>
  <r>
    <x v="24"/>
    <s v="ENG"/>
    <x v="0"/>
    <n v="0"/>
    <n v="0"/>
    <n v="0"/>
    <n v="0"/>
    <n v="0"/>
    <n v="0"/>
    <n v="0"/>
    <n v="0"/>
    <n v="0"/>
    <n v="0"/>
    <s v="0.0"/>
    <n v="0"/>
    <n v="0"/>
    <n v="0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NOR"/>
    <x v="0"/>
    <n v="19"/>
    <n v="90"/>
    <n v="50"/>
    <s v="3.81"/>
    <s v="0.36"/>
    <n v="1"/>
    <n v="1"/>
    <n v="2"/>
    <s v="18.2"/>
  </r>
  <r>
    <x v="1"/>
    <s v="CRO"/>
    <x v="1"/>
    <n v="5"/>
    <n v="34"/>
    <n v="11"/>
    <s v="1.51"/>
    <s v="0.45"/>
    <n v="0"/>
    <n v="0"/>
    <n v="0"/>
    <s v="4.2"/>
  </r>
  <r>
    <x v="2"/>
    <s v="POR"/>
    <x v="2"/>
    <n v="2"/>
    <n v="25"/>
    <n v="9"/>
    <s v="1.17"/>
    <s v="0.22"/>
    <n v="0"/>
    <n v="0"/>
    <n v="0"/>
    <s v="2.9"/>
  </r>
  <r>
    <x v="3"/>
    <s v="SUI"/>
    <x v="1"/>
    <n v="0"/>
    <n v="10"/>
    <n v="1"/>
    <s v="0.53"/>
    <s v="0.00"/>
    <n v="0"/>
    <n v="0"/>
    <n v="0"/>
    <s v="0.7"/>
  </r>
  <r>
    <x v="4"/>
    <s v="CRO"/>
    <x v="3"/>
    <n v="4"/>
    <n v="32"/>
    <n v="8"/>
    <s v="1.86"/>
    <s v="0.50"/>
    <n v="0"/>
    <n v="0"/>
    <n v="0"/>
    <s v="1.4"/>
  </r>
  <r>
    <x v="5"/>
    <s v="ENG"/>
    <x v="4"/>
    <n v="1"/>
    <n v="9"/>
    <n v="2"/>
    <s v="0.58"/>
    <s v="0.50"/>
    <n v="0"/>
    <n v="0"/>
    <n v="0"/>
    <s v="1.2"/>
  </r>
  <r>
    <x v="6"/>
    <s v="ENG"/>
    <x v="2"/>
    <n v="7"/>
    <n v="45"/>
    <n v="14"/>
    <s v="2.97"/>
    <s v="0.50"/>
    <n v="1"/>
    <n v="0"/>
    <n v="0"/>
    <s v="4.6"/>
  </r>
  <r>
    <x v="7"/>
    <s v="BRA"/>
    <x v="5"/>
    <n v="0"/>
    <n v="0"/>
    <n v="0"/>
    <s v="0.00"/>
    <s v=""/>
    <n v="0"/>
    <n v="0"/>
    <n v="0"/>
    <s v="0.0"/>
  </r>
  <r>
    <x v="8"/>
    <s v="GER"/>
    <x v="3"/>
    <n v="0"/>
    <n v="16"/>
    <n v="4"/>
    <s v="1.07"/>
    <s v="0.00"/>
    <n v="2"/>
    <n v="0"/>
    <n v="0"/>
    <s v="1.6"/>
  </r>
  <r>
    <x v="9"/>
    <s v="BRA"/>
    <x v="6"/>
    <n v="1"/>
    <n v="38"/>
    <n v="15"/>
    <s v="2.92"/>
    <s v="0.07"/>
    <n v="1"/>
    <n v="0"/>
    <n v="0"/>
    <s v="3.1"/>
  </r>
  <r>
    <x v="10"/>
    <s v="POR"/>
    <x v="1"/>
    <n v="0"/>
    <n v="13"/>
    <n v="3"/>
    <s v="0.99"/>
    <s v="0.00"/>
    <n v="0"/>
    <n v="0"/>
    <n v="0"/>
    <s v="1.1"/>
  </r>
  <r>
    <x v="11"/>
    <s v="BEL"/>
    <x v="3"/>
    <n v="2"/>
    <n v="33"/>
    <n v="8"/>
    <s v="2.94"/>
    <s v="0.25"/>
    <n v="4"/>
    <n v="0"/>
    <n v="0"/>
    <s v="2.5"/>
  </r>
  <r>
    <x v="12"/>
    <s v="POR"/>
    <x v="4"/>
    <n v="0"/>
    <n v="5"/>
    <n v="1"/>
    <s v="0.51"/>
    <s v="0.00"/>
    <n v="0"/>
    <n v="0"/>
    <n v="0"/>
    <s v="0.5"/>
  </r>
  <r>
    <x v="13"/>
    <s v="ENG"/>
    <x v="1"/>
    <n v="0"/>
    <n v="5"/>
    <n v="2"/>
    <s v="0.46"/>
    <s v="0.00"/>
    <n v="0"/>
    <n v="0"/>
    <n v="0"/>
    <s v="0.1"/>
  </r>
  <r>
    <x v="14"/>
    <s v="GER"/>
    <x v="5"/>
    <n v="0"/>
    <n v="0"/>
    <n v="0"/>
    <s v="0.00"/>
    <s v=""/>
    <n v="0"/>
    <n v="0"/>
    <n v="0"/>
    <s v="0.0"/>
  </r>
  <r>
    <x v="15"/>
    <s v="BEL"/>
    <x v="6"/>
    <n v="3"/>
    <n v="17"/>
    <n v="6"/>
    <s v="1.94"/>
    <s v="0.50"/>
    <n v="0"/>
    <n v="0"/>
    <n v="0"/>
    <s v="0.8"/>
  </r>
  <r>
    <x v="16"/>
    <s v="NED"/>
    <x v="1"/>
    <n v="0"/>
    <n v="3"/>
    <n v="0"/>
    <s v="0.45"/>
    <s v=""/>
    <n v="0"/>
    <n v="0"/>
    <n v="0"/>
    <s v="0.2"/>
  </r>
  <r>
    <x v="17"/>
    <s v="ENG"/>
    <x v="6"/>
    <n v="0"/>
    <n v="13"/>
    <n v="4"/>
    <s v="1.92"/>
    <s v="0.00"/>
    <n v="0"/>
    <n v="0"/>
    <n v="0"/>
    <s v="0.8"/>
  </r>
  <r>
    <x v="18"/>
    <s v="ENG"/>
    <x v="4"/>
    <n v="2"/>
    <n v="2"/>
    <n v="2"/>
    <s v="0.39"/>
    <s v="1.00"/>
    <n v="0"/>
    <n v="0"/>
    <n v="0"/>
    <s v="0.4"/>
  </r>
  <r>
    <x v="19"/>
    <s v="EGY"/>
    <x v="6"/>
    <n v="0"/>
    <n v="3"/>
    <n v="0"/>
    <s v="1.87"/>
    <s v=""/>
    <n v="1"/>
    <n v="0"/>
    <n v="0"/>
    <s v="0.2"/>
  </r>
  <r>
    <x v="20"/>
    <s v="ENG"/>
    <x v="1"/>
    <n v="0"/>
    <n v="0"/>
    <n v="0"/>
    <s v="0.00"/>
    <s v=""/>
    <n v="0"/>
    <n v="0"/>
    <n v="0"/>
    <s v="0.0"/>
  </r>
  <r>
    <x v="21"/>
    <s v="ESP"/>
    <x v="3"/>
    <n v="0"/>
    <n v="0"/>
    <n v="0"/>
    <s v="0.00"/>
    <s v=""/>
    <n v="0"/>
    <n v="0"/>
    <n v="0"/>
    <s v="0.0"/>
  </r>
  <r>
    <x v="22"/>
    <s v="UZB"/>
    <x v="1"/>
    <n v="0"/>
    <n v="1"/>
    <n v="0"/>
    <s v="1.70"/>
    <s v=""/>
    <n v="0"/>
    <n v="0"/>
    <n v="0"/>
    <s v="0.0"/>
  </r>
  <r>
    <x v="23"/>
    <s v="ENG"/>
    <x v="2"/>
    <n v="1"/>
    <n v="4"/>
    <n v="1"/>
    <s v="4.04"/>
    <s v="1.00"/>
    <n v="0"/>
    <n v="0"/>
    <n v="0"/>
    <s v="0.8"/>
  </r>
  <r>
    <x v="24"/>
    <s v="ENG"/>
    <x v="0"/>
    <n v="0"/>
    <n v="1"/>
    <n v="0"/>
    <s v="3.21"/>
    <s v=""/>
    <n v="0"/>
    <n v="0"/>
    <n v="0"/>
    <s v="0.0"/>
  </r>
  <r>
    <x v="25"/>
    <s v="ENG"/>
    <x v="3"/>
    <n v="0"/>
    <n v="1"/>
    <n v="0"/>
    <s v="4.74"/>
    <s v=""/>
    <n v="0"/>
    <n v="0"/>
    <n v="0"/>
    <s v="0.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ESP"/>
    <x v="0"/>
    <n v="8"/>
    <n v="62"/>
    <n v="22"/>
    <s v="0.36"/>
    <n v="0"/>
    <n v="0"/>
    <n v="0"/>
    <s v="4.1"/>
  </r>
  <r>
    <x v="1"/>
    <s v="ENG"/>
    <x v="1"/>
    <n v="19"/>
    <n v="105"/>
    <n v="48"/>
    <s v="0.40"/>
    <n v="4"/>
    <n v="0"/>
    <n v="0"/>
    <s v="10.3"/>
  </r>
  <r>
    <x v="2"/>
    <s v="BRA"/>
    <x v="2"/>
    <n v="0"/>
    <n v="0"/>
    <n v="0"/>
    <s v=""/>
    <n v="0"/>
    <n v="0"/>
    <n v="0"/>
    <s v="0.0"/>
  </r>
  <r>
    <x v="3"/>
    <s v="ARG"/>
    <x v="3"/>
    <n v="11"/>
    <n v="96"/>
    <n v="37"/>
    <s v="0.24"/>
    <n v="13"/>
    <n v="2"/>
    <n v="2"/>
    <s v="13.0"/>
  </r>
  <r>
    <x v="4"/>
    <s v="ENG"/>
    <x v="4"/>
    <n v="0"/>
    <n v="16"/>
    <n v="3"/>
    <s v="0.00"/>
    <n v="1"/>
    <n v="0"/>
    <n v="0"/>
    <s v="0.4"/>
  </r>
  <r>
    <x v="5"/>
    <s v="POR"/>
    <x v="3"/>
    <n v="6"/>
    <n v="34"/>
    <n v="15"/>
    <s v="0.40"/>
    <n v="0"/>
    <n v="0"/>
    <n v="0"/>
    <s v="3.7"/>
  </r>
  <r>
    <x v="6"/>
    <s v="NOR"/>
    <x v="5"/>
    <n v="27"/>
    <n v="113"/>
    <n v="50"/>
    <s v="0.40"/>
    <n v="1"/>
    <n v="7"/>
    <n v="8"/>
    <s v="29.2"/>
  </r>
  <r>
    <x v="7"/>
    <s v="POR"/>
    <x v="4"/>
    <n v="0"/>
    <n v="20"/>
    <n v="8"/>
    <s v="0.00"/>
    <n v="0"/>
    <n v="0"/>
    <n v="0"/>
    <s v="1.4"/>
  </r>
  <r>
    <x v="8"/>
    <s v="SUI"/>
    <x v="6"/>
    <n v="2"/>
    <n v="15"/>
    <n v="5"/>
    <s v="0.40"/>
    <n v="0"/>
    <n v="0"/>
    <n v="0"/>
    <s v="1.9"/>
  </r>
  <r>
    <x v="9"/>
    <s v="CRO"/>
    <x v="4"/>
    <n v="4"/>
    <n v="32"/>
    <n v="13"/>
    <s v="0.31"/>
    <n v="0"/>
    <n v="0"/>
    <n v="0"/>
    <s v="3.1"/>
  </r>
  <r>
    <x v="10"/>
    <s v="NED"/>
    <x v="4"/>
    <n v="2"/>
    <n v="20"/>
    <n v="5"/>
    <s v="0.40"/>
    <n v="0"/>
    <n v="0"/>
    <n v="0"/>
    <s v="2.5"/>
  </r>
  <r>
    <x v="11"/>
    <s v="BEL"/>
    <x v="1"/>
    <n v="3"/>
    <n v="55"/>
    <n v="19"/>
    <s v="0.16"/>
    <n v="0"/>
    <n v="0"/>
    <n v="0"/>
    <s v="2.5"/>
  </r>
  <r>
    <x v="12"/>
    <s v="CRO"/>
    <x v="0"/>
    <n v="1"/>
    <n v="22"/>
    <n v="5"/>
    <s v="0.20"/>
    <n v="0"/>
    <n v="0"/>
    <n v="0"/>
    <s v="1.3"/>
  </r>
  <r>
    <x v="13"/>
    <s v="BEL"/>
    <x v="0"/>
    <n v="4"/>
    <n v="44"/>
    <n v="17"/>
    <s v="0.24"/>
    <n v="6"/>
    <n v="0"/>
    <n v="0"/>
    <s v="2.4"/>
  </r>
  <r>
    <x v="14"/>
    <s v="ENG"/>
    <x v="6"/>
    <n v="1"/>
    <n v="4"/>
    <n v="2"/>
    <s v="0.50"/>
    <n v="0"/>
    <n v="0"/>
    <n v="0"/>
    <s v="1.0"/>
  </r>
  <r>
    <x v="15"/>
    <s v="ENG"/>
    <x v="1"/>
    <n v="3"/>
    <n v="22"/>
    <n v="5"/>
    <s v="0.60"/>
    <n v="0"/>
    <n v="0"/>
    <n v="0"/>
    <s v="2.1"/>
  </r>
  <r>
    <x v="16"/>
    <s v="ENG"/>
    <x v="6"/>
    <n v="2"/>
    <n v="5"/>
    <n v="4"/>
    <s v="0.50"/>
    <n v="0"/>
    <n v="0"/>
    <n v="0"/>
    <s v="0.6"/>
  </r>
  <r>
    <x v="17"/>
    <s v="POR"/>
    <x v="0"/>
    <n v="0"/>
    <n v="9"/>
    <n v="4"/>
    <s v="0.00"/>
    <n v="0"/>
    <n v="0"/>
    <n v="0"/>
    <s v="0.8"/>
  </r>
  <r>
    <x v="18"/>
    <s v="GER"/>
    <x v="2"/>
    <n v="0"/>
    <n v="0"/>
    <n v="0"/>
    <s v=""/>
    <n v="0"/>
    <n v="0"/>
    <n v="0"/>
    <s v="0.0"/>
  </r>
  <r>
    <x v="19"/>
    <s v="NOR"/>
    <x v="1"/>
    <n v="1"/>
    <n v="4"/>
    <n v="1"/>
    <s v="1.00"/>
    <n v="0"/>
    <n v="0"/>
    <n v="0"/>
    <s v="1.4"/>
  </r>
  <r>
    <x v="20"/>
    <s v="ENG"/>
    <x v="0"/>
    <n v="0"/>
    <n v="2"/>
    <n v="0"/>
    <s v=""/>
    <n v="0"/>
    <n v="0"/>
    <n v="0"/>
    <s v="0.1"/>
  </r>
  <r>
    <x v="21"/>
    <s v="ESP"/>
    <x v="1"/>
    <n v="0"/>
    <n v="2"/>
    <n v="0"/>
    <s v=""/>
    <n v="0"/>
    <n v="0"/>
    <n v="0"/>
    <s v="0.2"/>
  </r>
  <r>
    <x v="22"/>
    <s v="ESP"/>
    <x v="4"/>
    <n v="0"/>
    <n v="1"/>
    <n v="1"/>
    <s v="0.00"/>
    <n v="0"/>
    <n v="0"/>
    <n v="0"/>
    <s v="0.0"/>
  </r>
  <r>
    <x v="23"/>
    <s v="ENG"/>
    <x v="0"/>
    <n v="0"/>
    <n v="0"/>
    <n v="0"/>
    <s v=""/>
    <n v="0"/>
    <n v="0"/>
    <n v="0"/>
    <s v="0.0"/>
  </r>
  <r>
    <x v="24"/>
    <s v="ENG"/>
    <x v="0"/>
    <n v="0"/>
    <n v="0"/>
    <n v="0"/>
    <s v=""/>
    <n v="0"/>
    <n v="0"/>
    <n v="0"/>
    <s v="0.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NOR"/>
    <x v="0"/>
    <n v="7"/>
    <n v="4"/>
    <n v="2"/>
    <n v="2"/>
    <n v="1"/>
    <n v="4"/>
    <n v="7"/>
    <n v="1"/>
    <n v="6"/>
    <n v="4"/>
    <n v="21"/>
    <n v="0"/>
  </r>
  <r>
    <x v="1"/>
    <s v="CRO"/>
    <x v="1"/>
    <n v="36"/>
    <n v="23"/>
    <n v="16"/>
    <n v="10"/>
    <n v="14"/>
    <n v="12"/>
    <n v="27"/>
    <n v="13"/>
    <n v="14"/>
    <n v="25"/>
    <n v="68"/>
    <n v="5"/>
  </r>
  <r>
    <x v="2"/>
    <s v="POR"/>
    <x v="2"/>
    <n v="32"/>
    <n v="24"/>
    <n v="10"/>
    <n v="17"/>
    <n v="18"/>
    <n v="20"/>
    <n v="22"/>
    <n v="5"/>
    <n v="17"/>
    <n v="16"/>
    <n v="17"/>
    <n v="3"/>
  </r>
  <r>
    <x v="3"/>
    <s v="SUI"/>
    <x v="1"/>
    <n v="15"/>
    <n v="10"/>
    <n v="8"/>
    <n v="4"/>
    <n v="7"/>
    <n v="5"/>
    <n v="11"/>
    <n v="8"/>
    <n v="3"/>
    <n v="7"/>
    <n v="55"/>
    <n v="3"/>
  </r>
  <r>
    <x v="4"/>
    <s v="CRO"/>
    <x v="3"/>
    <n v="46"/>
    <n v="27"/>
    <n v="13"/>
    <n v="26"/>
    <n v="22"/>
    <n v="26"/>
    <n v="15"/>
    <n v="0"/>
    <n v="15"/>
    <n v="13"/>
    <n v="16"/>
    <n v="0"/>
  </r>
  <r>
    <x v="5"/>
    <s v="ENG"/>
    <x v="4"/>
    <n v="25"/>
    <n v="15"/>
    <n v="11"/>
    <n v="10"/>
    <n v="10"/>
    <n v="5"/>
    <n v="20"/>
    <n v="4"/>
    <n v="16"/>
    <n v="11"/>
    <n v="31"/>
    <n v="1"/>
  </r>
  <r>
    <x v="6"/>
    <s v="ENG"/>
    <x v="2"/>
    <n v="9"/>
    <n v="3"/>
    <n v="3"/>
    <n v="3"/>
    <n v="6"/>
    <n v="10"/>
    <n v="9"/>
    <n v="1"/>
    <n v="8"/>
    <n v="9"/>
    <n v="6"/>
    <n v="1"/>
  </r>
  <r>
    <x v="7"/>
    <s v="BRA"/>
    <x v="5"/>
    <n v="0"/>
    <n v="0"/>
    <n v="0"/>
    <n v="0"/>
    <n v="0"/>
    <n v="2"/>
    <n v="0"/>
    <n v="0"/>
    <n v="0"/>
    <n v="1"/>
    <n v="5"/>
    <n v="1"/>
  </r>
  <r>
    <x v="8"/>
    <s v="GER"/>
    <x v="3"/>
    <n v="17"/>
    <n v="10"/>
    <n v="4"/>
    <n v="9"/>
    <n v="9"/>
    <n v="11"/>
    <n v="8"/>
    <n v="0"/>
    <n v="8"/>
    <n v="12"/>
    <n v="15"/>
    <n v="0"/>
  </r>
  <r>
    <x v="9"/>
    <s v="BRA"/>
    <x v="6"/>
    <n v="16"/>
    <n v="10"/>
    <n v="3"/>
    <n v="8"/>
    <n v="3"/>
    <n v="7"/>
    <n v="9"/>
    <n v="2"/>
    <n v="7"/>
    <n v="4"/>
    <n v="5"/>
    <n v="1"/>
  </r>
  <r>
    <x v="10"/>
    <s v="POR"/>
    <x v="1"/>
    <n v="9"/>
    <n v="5"/>
    <n v="3"/>
    <n v="5"/>
    <n v="3"/>
    <n v="3"/>
    <n v="11"/>
    <n v="10"/>
    <n v="1"/>
    <n v="14"/>
    <n v="33"/>
    <n v="1"/>
  </r>
  <r>
    <x v="11"/>
    <s v="BEL"/>
    <x v="3"/>
    <n v="9"/>
    <n v="4"/>
    <n v="4"/>
    <n v="2"/>
    <n v="3"/>
    <n v="11"/>
    <n v="6"/>
    <n v="0"/>
    <n v="6"/>
    <n v="5"/>
    <n v="9"/>
    <n v="1"/>
  </r>
  <r>
    <x v="12"/>
    <s v="POR"/>
    <x v="4"/>
    <n v="25"/>
    <n v="16"/>
    <n v="10"/>
    <n v="9"/>
    <n v="12"/>
    <n v="11"/>
    <n v="11"/>
    <n v="3"/>
    <n v="8"/>
    <n v="9"/>
    <n v="21"/>
    <n v="0"/>
  </r>
  <r>
    <x v="13"/>
    <s v="ENG"/>
    <x v="1"/>
    <n v="17"/>
    <n v="10"/>
    <n v="7"/>
    <n v="7"/>
    <n v="14"/>
    <n v="12"/>
    <n v="13"/>
    <n v="4"/>
    <n v="9"/>
    <n v="3"/>
    <n v="13"/>
    <n v="1"/>
  </r>
  <r>
    <x v="14"/>
    <s v="GER"/>
    <x v="5"/>
    <n v="0"/>
    <n v="0"/>
    <n v="0"/>
    <n v="0"/>
    <n v="0"/>
    <n v="1"/>
    <n v="0"/>
    <n v="0"/>
    <n v="0"/>
    <n v="0"/>
    <n v="8"/>
    <n v="1"/>
  </r>
  <r>
    <x v="15"/>
    <s v="BEL"/>
    <x v="6"/>
    <n v="20"/>
    <n v="12"/>
    <n v="8"/>
    <n v="7"/>
    <n v="5"/>
    <n v="3"/>
    <n v="6"/>
    <n v="1"/>
    <n v="5"/>
    <n v="2"/>
    <n v="2"/>
    <n v="0"/>
  </r>
  <r>
    <x v="16"/>
    <s v="NED"/>
    <x v="1"/>
    <n v="9"/>
    <n v="7"/>
    <n v="7"/>
    <n v="2"/>
    <n v="4"/>
    <n v="1"/>
    <n v="7"/>
    <n v="2"/>
    <n v="5"/>
    <n v="3"/>
    <n v="20"/>
    <n v="1"/>
  </r>
  <r>
    <x v="17"/>
    <s v="ENG"/>
    <x v="6"/>
    <n v="9"/>
    <n v="5"/>
    <n v="4"/>
    <n v="2"/>
    <n v="2"/>
    <n v="2"/>
    <n v="10"/>
    <n v="2"/>
    <n v="8"/>
    <n v="2"/>
    <n v="4"/>
    <n v="1"/>
  </r>
  <r>
    <x v="18"/>
    <s v="ENG"/>
    <x v="4"/>
    <n v="5"/>
    <n v="2"/>
    <n v="2"/>
    <n v="2"/>
    <n v="4"/>
    <n v="0"/>
    <n v="4"/>
    <n v="2"/>
    <n v="2"/>
    <n v="3"/>
    <n v="14"/>
    <n v="1"/>
  </r>
  <r>
    <x v="19"/>
    <s v="EGY"/>
    <x v="6"/>
    <n v="3"/>
    <n v="2"/>
    <n v="2"/>
    <n v="0"/>
    <n v="3"/>
    <n v="1"/>
    <n v="4"/>
    <n v="0"/>
    <n v="4"/>
    <n v="0"/>
    <n v="0"/>
    <n v="0"/>
  </r>
  <r>
    <x v="20"/>
    <s v="ENG"/>
    <x v="1"/>
    <n v="1"/>
    <n v="0"/>
    <n v="1"/>
    <n v="0"/>
    <n v="0"/>
    <n v="1"/>
    <n v="1"/>
    <n v="1"/>
    <n v="0"/>
    <n v="0"/>
    <n v="2"/>
    <n v="0"/>
  </r>
  <r>
    <x v="21"/>
    <s v="ESP"/>
    <x v="3"/>
    <n v="2"/>
    <n v="1"/>
    <n v="1"/>
    <n v="1"/>
    <n v="0"/>
    <n v="0"/>
    <n v="1"/>
    <n v="0"/>
    <n v="1"/>
    <n v="1"/>
    <n v="0"/>
    <n v="0"/>
  </r>
  <r>
    <x v="22"/>
    <s v="UZB"/>
    <x v="1"/>
    <n v="0"/>
    <n v="0"/>
    <n v="0"/>
    <n v="0"/>
    <n v="0"/>
    <n v="0"/>
    <n v="1"/>
    <n v="1"/>
    <n v="0"/>
    <n v="0"/>
    <n v="1"/>
    <n v="1"/>
  </r>
  <r>
    <x v="23"/>
    <s v="ENG"/>
    <x v="2"/>
    <n v="2"/>
    <n v="1"/>
    <n v="0"/>
    <n v="2"/>
    <n v="0"/>
    <n v="2"/>
    <n v="4"/>
    <n v="0"/>
    <n v="4"/>
    <n v="1"/>
    <n v="0"/>
    <n v="0"/>
  </r>
  <r>
    <x v="24"/>
    <s v="ENG"/>
    <x v="0"/>
    <n v="0"/>
    <n v="0"/>
    <n v="0"/>
    <n v="0"/>
    <n v="0"/>
    <n v="0"/>
    <n v="0"/>
    <n v="0"/>
    <n v="0"/>
    <n v="0"/>
    <n v="0"/>
    <n v="0"/>
  </r>
  <r>
    <x v="25"/>
    <s v="ENG"/>
    <x v="3"/>
    <n v="1"/>
    <n v="0"/>
    <n v="0"/>
    <n v="1"/>
    <n v="0"/>
    <n v="0"/>
    <n v="0"/>
    <n v="0"/>
    <n v="0"/>
    <n v="0"/>
    <n v="1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ESP"/>
    <x v="0"/>
    <n v="70"/>
    <n v="43"/>
    <n v="25"/>
    <n v="33"/>
    <n v="29"/>
    <n v="31"/>
    <n v="32"/>
    <n v="8"/>
    <n v="24"/>
    <n v="26"/>
    <n v="41"/>
    <n v="4"/>
  </r>
  <r>
    <x v="1"/>
    <s v="ENG"/>
    <x v="1"/>
    <n v="31"/>
    <n v="20"/>
    <n v="11"/>
    <n v="10"/>
    <n v="13"/>
    <n v="18"/>
    <n v="30"/>
    <n v="0"/>
    <n v="30"/>
    <n v="13"/>
    <n v="18"/>
    <n v="1"/>
  </r>
  <r>
    <x v="2"/>
    <s v="BRA"/>
    <x v="2"/>
    <n v="0"/>
    <n v="0"/>
    <n v="0"/>
    <n v="0"/>
    <n v="0"/>
    <n v="1"/>
    <n v="0"/>
    <n v="0"/>
    <n v="0"/>
    <n v="0"/>
    <n v="10"/>
    <n v="1"/>
  </r>
  <r>
    <x v="3"/>
    <s v="ARG"/>
    <x v="3"/>
    <n v="24"/>
    <n v="13"/>
    <n v="5"/>
    <n v="8"/>
    <n v="8"/>
    <n v="24"/>
    <n v="30"/>
    <n v="0"/>
    <n v="30"/>
    <n v="2"/>
    <n v="14"/>
    <n v="1"/>
  </r>
  <r>
    <x v="4"/>
    <s v="ENG"/>
    <x v="4"/>
    <n v="38"/>
    <n v="24"/>
    <n v="19"/>
    <n v="17"/>
    <n v="19"/>
    <n v="20"/>
    <n v="19"/>
    <n v="6"/>
    <n v="13"/>
    <n v="27"/>
    <n v="40"/>
    <n v="1"/>
  </r>
  <r>
    <x v="5"/>
    <s v="POR"/>
    <x v="3"/>
    <n v="51"/>
    <n v="23"/>
    <n v="13"/>
    <n v="25"/>
    <n v="25"/>
    <n v="32"/>
    <n v="32"/>
    <n v="4"/>
    <n v="28"/>
    <n v="17"/>
    <n v="15"/>
    <n v="1"/>
  </r>
  <r>
    <x v="6"/>
    <s v="NOR"/>
    <x v="5"/>
    <n v="6"/>
    <n v="3"/>
    <n v="0"/>
    <n v="3"/>
    <n v="2"/>
    <n v="1"/>
    <n v="11"/>
    <n v="1"/>
    <n v="10"/>
    <n v="2"/>
    <n v="16"/>
    <n v="0"/>
  </r>
  <r>
    <x v="7"/>
    <s v="POR"/>
    <x v="4"/>
    <n v="39"/>
    <n v="20"/>
    <n v="14"/>
    <n v="21"/>
    <n v="19"/>
    <n v="7"/>
    <n v="32"/>
    <n v="17"/>
    <n v="15"/>
    <n v="30"/>
    <n v="77"/>
    <n v="0"/>
  </r>
  <r>
    <x v="8"/>
    <s v="SUI"/>
    <x v="6"/>
    <n v="42"/>
    <n v="28"/>
    <n v="16"/>
    <n v="18"/>
    <n v="22"/>
    <n v="17"/>
    <n v="28"/>
    <n v="12"/>
    <n v="16"/>
    <n v="23"/>
    <n v="70"/>
    <n v="3"/>
  </r>
  <r>
    <x v="9"/>
    <s v="CRO"/>
    <x v="4"/>
    <n v="55"/>
    <n v="33"/>
    <n v="21"/>
    <n v="24"/>
    <n v="21"/>
    <n v="17"/>
    <n v="36"/>
    <n v="12"/>
    <n v="24"/>
    <n v="27"/>
    <n v="37"/>
    <n v="3"/>
  </r>
  <r>
    <x v="10"/>
    <s v="NED"/>
    <x v="4"/>
    <n v="26"/>
    <n v="16"/>
    <n v="15"/>
    <n v="8"/>
    <n v="13"/>
    <n v="7"/>
    <n v="17"/>
    <n v="2"/>
    <n v="15"/>
    <n v="14"/>
    <n v="54"/>
    <n v="0"/>
  </r>
  <r>
    <x v="11"/>
    <s v="BEL"/>
    <x v="1"/>
    <n v="39"/>
    <n v="22"/>
    <n v="13"/>
    <n v="12"/>
    <n v="9"/>
    <n v="11"/>
    <n v="14"/>
    <n v="0"/>
    <n v="14"/>
    <n v="9"/>
    <n v="5"/>
    <n v="0"/>
  </r>
  <r>
    <x v="12"/>
    <s v="CRO"/>
    <x v="0"/>
    <n v="36"/>
    <n v="25"/>
    <n v="16"/>
    <n v="15"/>
    <n v="18"/>
    <n v="10"/>
    <n v="23"/>
    <n v="1"/>
    <n v="22"/>
    <n v="10"/>
    <n v="10"/>
    <n v="0"/>
  </r>
  <r>
    <x v="13"/>
    <s v="BEL"/>
    <x v="0"/>
    <n v="14"/>
    <n v="9"/>
    <n v="1"/>
    <n v="5"/>
    <n v="7"/>
    <n v="13"/>
    <n v="5"/>
    <n v="0"/>
    <n v="5"/>
    <n v="4"/>
    <n v="4"/>
    <n v="0"/>
  </r>
  <r>
    <x v="14"/>
    <s v="ENG"/>
    <x v="6"/>
    <n v="2"/>
    <n v="1"/>
    <n v="1"/>
    <n v="0"/>
    <n v="0"/>
    <n v="3"/>
    <n v="11"/>
    <n v="7"/>
    <n v="4"/>
    <n v="10"/>
    <n v="21"/>
    <n v="0"/>
  </r>
  <r>
    <x v="15"/>
    <s v="ENG"/>
    <x v="1"/>
    <n v="13"/>
    <n v="8"/>
    <n v="6"/>
    <n v="7"/>
    <n v="6"/>
    <n v="6"/>
    <n v="13"/>
    <n v="2"/>
    <n v="11"/>
    <n v="6"/>
    <n v="5"/>
    <n v="0"/>
  </r>
  <r>
    <x v="16"/>
    <s v="ENG"/>
    <x v="6"/>
    <n v="10"/>
    <n v="7"/>
    <n v="4"/>
    <n v="4"/>
    <n v="3"/>
    <n v="4"/>
    <n v="7"/>
    <n v="1"/>
    <n v="6"/>
    <n v="4"/>
    <n v="6"/>
    <n v="0"/>
  </r>
  <r>
    <x v="17"/>
    <s v="POR"/>
    <x v="0"/>
    <n v="10"/>
    <n v="4"/>
    <n v="1"/>
    <n v="7"/>
    <n v="5"/>
    <n v="11"/>
    <n v="7"/>
    <n v="1"/>
    <n v="6"/>
    <n v="1"/>
    <n v="8"/>
    <n v="1"/>
  </r>
  <r>
    <x v="18"/>
    <s v="GER"/>
    <x v="2"/>
    <n v="0"/>
    <n v="0"/>
    <n v="0"/>
    <n v="0"/>
    <n v="0"/>
    <n v="0"/>
    <n v="0"/>
    <n v="0"/>
    <n v="0"/>
    <n v="0"/>
    <n v="2"/>
    <n v="1"/>
  </r>
  <r>
    <x v="19"/>
    <s v="NOR"/>
    <x v="1"/>
    <n v="7"/>
    <n v="3"/>
    <n v="1"/>
    <n v="2"/>
    <n v="2"/>
    <n v="2"/>
    <n v="4"/>
    <n v="0"/>
    <n v="4"/>
    <n v="5"/>
    <n v="1"/>
    <n v="0"/>
  </r>
  <r>
    <x v="20"/>
    <s v="ENG"/>
    <x v="0"/>
    <n v="3"/>
    <n v="3"/>
    <n v="1"/>
    <n v="1"/>
    <n v="0"/>
    <n v="0"/>
    <n v="0"/>
    <n v="0"/>
    <n v="0"/>
    <n v="2"/>
    <n v="2"/>
    <n v="0"/>
  </r>
  <r>
    <x v="21"/>
    <s v="ESP"/>
    <x v="1"/>
    <n v="1"/>
    <n v="0"/>
    <n v="0"/>
    <n v="1"/>
    <n v="1"/>
    <n v="1"/>
    <n v="0"/>
    <n v="0"/>
    <n v="0"/>
    <n v="1"/>
    <n v="0"/>
    <n v="0"/>
  </r>
  <r>
    <x v="22"/>
    <s v="ESP"/>
    <x v="4"/>
    <n v="0"/>
    <n v="0"/>
    <n v="0"/>
    <n v="0"/>
    <n v="0"/>
    <n v="0"/>
    <n v="1"/>
    <n v="1"/>
    <n v="0"/>
    <n v="0"/>
    <n v="1"/>
    <n v="0"/>
  </r>
  <r>
    <x v="23"/>
    <s v="ENG"/>
    <x v="0"/>
    <n v="0"/>
    <n v="0"/>
    <n v="0"/>
    <n v="0"/>
    <n v="0"/>
    <n v="0"/>
    <n v="0"/>
    <n v="0"/>
    <n v="0"/>
    <n v="0"/>
    <n v="0"/>
    <n v="0"/>
  </r>
  <r>
    <x v="24"/>
    <s v="ENG"/>
    <x v="0"/>
    <n v="0"/>
    <n v="0"/>
    <n v="0"/>
    <n v="0"/>
    <n v="0"/>
    <n v="0"/>
    <n v="1"/>
    <n v="0"/>
    <n v="1"/>
    <n v="0"/>
    <n v="0"/>
    <n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BRA"/>
    <s v="GK"/>
    <n v="20"/>
    <n v="2"/>
    <n v="0"/>
    <n v="1"/>
    <n v="1"/>
    <n v="55"/>
    <n v="32"/>
    <x v="0"/>
    <n v="51"/>
    <x v="0"/>
    <n v="119"/>
    <n v="9"/>
    <n v="28"/>
  </r>
  <r>
    <x v="1"/>
    <s v="GER"/>
    <s v="GK"/>
    <n v="15"/>
    <n v="1"/>
    <n v="0"/>
    <n v="1"/>
    <n v="0"/>
    <n v="41"/>
    <n v="26"/>
    <x v="1"/>
    <n v="31"/>
    <x v="1"/>
    <n v="96"/>
    <n v="2"/>
    <n v="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BRA"/>
    <s v="GK"/>
    <n v="27"/>
    <n v="3"/>
    <n v="0"/>
    <n v="2"/>
    <n v="1"/>
    <n v="82"/>
    <n v="56"/>
    <n v="27.2"/>
    <n v="114"/>
    <s v="46.3"/>
    <n v="247"/>
    <n v="25"/>
    <n v="50"/>
  </r>
  <r>
    <x v="1"/>
    <s v="GER"/>
    <s v="GK"/>
    <n v="7"/>
    <n v="0"/>
    <n v="0"/>
    <n v="1"/>
    <n v="0"/>
    <n v="27"/>
    <n v="20"/>
    <n v="9"/>
    <n v="28"/>
    <s v="41.2"/>
    <n v="65"/>
    <n v="6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1782C-D793-4D6F-81E6-D6AE05475269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37" firstHeaderRow="0" firstDataRow="1" firstDataCol="1" rowPageCount="1" colPageCount="1"/>
  <pivotFields count="30">
    <pivotField axis="axisRow" showAll="0" sortType="descending">
      <items count="34">
        <item x="22"/>
        <item x="2"/>
        <item x="24"/>
        <item x="7"/>
        <item x="0"/>
        <item x="29"/>
        <item x="8"/>
        <item x="17"/>
        <item x="32"/>
        <item x="20"/>
        <item x="23"/>
        <item x="15"/>
        <item x="18"/>
        <item x="31"/>
        <item x="1"/>
        <item x="11"/>
        <item x="13"/>
        <item x="26"/>
        <item x="3"/>
        <item x="4"/>
        <item x="12"/>
        <item x="16"/>
        <item x="25"/>
        <item x="19"/>
        <item x="6"/>
        <item x="5"/>
        <item x="21"/>
        <item x="10"/>
        <item x="9"/>
        <item x="28"/>
        <item x="14"/>
        <item x="27"/>
        <item x="30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axis="axisPage" showAll="0">
      <items count="8">
        <item x="1"/>
        <item x="4"/>
        <item x="0"/>
        <item x="6"/>
        <item x="5"/>
        <item x="3"/>
        <item x="2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34">
    <i>
      <x v="4"/>
    </i>
    <i>
      <x v="24"/>
    </i>
    <i>
      <x v="14"/>
    </i>
    <i>
      <x v="19"/>
    </i>
    <i>
      <x v="11"/>
    </i>
    <i>
      <x v="12"/>
    </i>
    <i>
      <x v="1"/>
    </i>
    <i>
      <x v="15"/>
    </i>
    <i>
      <x v="10"/>
    </i>
    <i>
      <x v="25"/>
    </i>
    <i>
      <x v="28"/>
    </i>
    <i>
      <x v="26"/>
    </i>
    <i>
      <x v="22"/>
    </i>
    <i>
      <x v="20"/>
    </i>
    <i>
      <x v="2"/>
    </i>
    <i>
      <x v="7"/>
    </i>
    <i>
      <x v="13"/>
    </i>
    <i>
      <x v="31"/>
    </i>
    <i>
      <x v="5"/>
    </i>
    <i>
      <x v="21"/>
    </i>
    <i>
      <x v="32"/>
    </i>
    <i>
      <x v="23"/>
    </i>
    <i>
      <x/>
    </i>
    <i>
      <x v="9"/>
    </i>
    <i>
      <x v="27"/>
    </i>
    <i>
      <x v="3"/>
    </i>
    <i>
      <x v="29"/>
    </i>
    <i>
      <x v="17"/>
    </i>
    <i>
      <x v="30"/>
    </i>
    <i>
      <x v="18"/>
    </i>
    <i>
      <x v="8"/>
    </i>
    <i>
      <x v="6"/>
    </i>
    <i>
      <x v="1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2" hier="-1"/>
  </pageFields>
  <dataFields count="9">
    <dataField name="Sum of Matches" fld="4" baseField="0" baseItem="0"/>
    <dataField name="Sum of Starts" fld="5" baseField="0" baseItem="0"/>
    <dataField name="Sum of Min" fld="6" baseField="0" baseItem="0"/>
    <dataField name="Sum of Goals" fld="8" baseField="0" baseItem="0"/>
    <dataField name="Sum of Assists" fld="9" baseField="0" baseItem="0"/>
    <dataField name="Sum of GolAsist" fld="28" baseField="0" baseItem="0"/>
    <dataField name="Sum of Goalpermatch" fld="29" baseField="0" baseItem="0" numFmtId="2"/>
    <dataField name="Sum of Prg Carries" fld="19" baseField="0" baseItem="0"/>
    <dataField name="Sum of Prg Passes" fld="20" baseField="0" baseItem="0"/>
  </dataFields>
  <formats count="3">
    <format dxfId="189">
      <pivotArea collapsedLevelsAreSubtotals="1" fieldPosition="0">
        <references count="2">
          <reference field="4294967294" count="1" selected="0">
            <x v="6"/>
          </reference>
          <reference field="0" count="1">
            <x v="4"/>
          </reference>
        </references>
      </pivotArea>
    </format>
    <format dxfId="18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87">
      <pivotArea dataOnly="0" labelOnly="1" fieldPosition="0">
        <references count="1">
          <reference field="0" count="1"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70D60-FDD5-4D6C-94B7-1E1BD07F660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34" firstHeaderRow="0" firstDataRow="1" firstDataCol="1" rowPageCount="1" colPageCount="1"/>
  <pivotFields count="31">
    <pivotField axis="axisRow" showAll="0" sortType="descending">
      <items count="31">
        <item x="22"/>
        <item x="5"/>
        <item x="23"/>
        <item x="2"/>
        <item x="6"/>
        <item x="15"/>
        <item x="29"/>
        <item x="24"/>
        <item x="11"/>
        <item x="14"/>
        <item x="9"/>
        <item x="3"/>
        <item x="20"/>
        <item x="13"/>
        <item x="4"/>
        <item x="28"/>
        <item x="27"/>
        <item x="8"/>
        <item x="12"/>
        <item x="17"/>
        <item x="26"/>
        <item x="10"/>
        <item x="19"/>
        <item x="1"/>
        <item x="16"/>
        <item x="0"/>
        <item x="7"/>
        <item x="25"/>
        <item x="21"/>
        <item x="18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axis="axisPage" showAll="0">
      <items count="8">
        <item x="4"/>
        <item x="6"/>
        <item x="5"/>
        <item x="1"/>
        <item x="2"/>
        <item x="0"/>
        <item x="3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0"/>
  </rowFields>
  <rowItems count="31">
    <i>
      <x v="4"/>
    </i>
    <i>
      <x v="23"/>
    </i>
    <i>
      <x v="11"/>
    </i>
    <i>
      <x v="25"/>
    </i>
    <i>
      <x v="1"/>
    </i>
    <i>
      <x v="10"/>
    </i>
    <i>
      <x v="13"/>
    </i>
    <i>
      <x v="5"/>
    </i>
    <i>
      <x v="8"/>
    </i>
    <i>
      <x v="24"/>
    </i>
    <i>
      <x v="21"/>
    </i>
    <i>
      <x v="17"/>
    </i>
    <i>
      <x v="9"/>
    </i>
    <i>
      <x v="22"/>
    </i>
    <i>
      <x v="18"/>
    </i>
    <i>
      <x v="29"/>
    </i>
    <i>
      <x v="15"/>
    </i>
    <i>
      <x v="2"/>
    </i>
    <i>
      <x v="16"/>
    </i>
    <i>
      <x v="28"/>
    </i>
    <i>
      <x v="7"/>
    </i>
    <i>
      <x v="3"/>
    </i>
    <i>
      <x v="26"/>
    </i>
    <i>
      <x v="6"/>
    </i>
    <i>
      <x v="27"/>
    </i>
    <i>
      <x v="20"/>
    </i>
    <i>
      <x v="12"/>
    </i>
    <i>
      <x v="19"/>
    </i>
    <i>
      <x/>
    </i>
    <i>
      <x v="1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2" hier="-1"/>
  </pageFields>
  <dataFields count="9">
    <dataField name="Sum of Matches" fld="4" baseField="0" baseItem="0"/>
    <dataField name="Sum of Starts" fld="5" baseField="0" baseItem="0"/>
    <dataField name="Sum of Min" fld="6" baseField="0" baseItem="0"/>
    <dataField name="Sum of Goals" fld="8" baseField="0" baseItem="0"/>
    <dataField name="Sum of Assists" fld="9" baseField="0" baseItem="0"/>
    <dataField name="Sum of GoalAssist" fld="28" baseField="0" baseItem="0"/>
    <dataField name="Sum of Goalpermat" fld="30" baseField="0" baseItem="0" numFmtId="2"/>
    <dataField name="Sum of Prg Carries" fld="19" baseField="0" baseItem="0"/>
    <dataField name="Sum of Prg Passes" fld="20" baseField="0" baseItem="0"/>
  </dataFields>
  <formats count="2">
    <format dxfId="18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85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40D12-27E6-49CF-A5F4-468A14125610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30" firstHeaderRow="0" firstDataRow="1" firstDataCol="1" rowPageCount="1" colPageCount="1"/>
  <pivotFields count="22">
    <pivotField axis="axisRow" showAll="0" sortType="descending">
      <items count="27">
        <item x="22"/>
        <item x="2"/>
        <item x="24"/>
        <item x="7"/>
        <item x="0"/>
        <item x="8"/>
        <item x="17"/>
        <item x="20"/>
        <item x="23"/>
        <item x="15"/>
        <item x="18"/>
        <item x="1"/>
        <item x="11"/>
        <item x="13"/>
        <item x="3"/>
        <item x="4"/>
        <item x="12"/>
        <item x="16"/>
        <item x="25"/>
        <item x="19"/>
        <item x="6"/>
        <item x="5"/>
        <item x="21"/>
        <item x="10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axis="axisPage" showAll="0">
      <items count="8">
        <item x="1"/>
        <item x="4"/>
        <item x="0"/>
        <item x="6"/>
        <item x="5"/>
        <item x="3"/>
        <item x="2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27">
    <i>
      <x v="12"/>
    </i>
    <i>
      <x v="1"/>
    </i>
    <i>
      <x v="20"/>
    </i>
    <i>
      <x v="24"/>
    </i>
    <i>
      <x v="15"/>
    </i>
    <i>
      <x v="5"/>
    </i>
    <i>
      <x v="4"/>
    </i>
    <i>
      <x v="6"/>
    </i>
    <i>
      <x v="16"/>
    </i>
    <i>
      <x v="11"/>
    </i>
    <i>
      <x v="9"/>
    </i>
    <i>
      <x v="14"/>
    </i>
    <i>
      <x v="21"/>
    </i>
    <i>
      <x v="13"/>
    </i>
    <i>
      <x v="23"/>
    </i>
    <i>
      <x v="19"/>
    </i>
    <i>
      <x v="3"/>
    </i>
    <i>
      <x v="10"/>
    </i>
    <i>
      <x v="22"/>
    </i>
    <i>
      <x v="17"/>
    </i>
    <i>
      <x v="18"/>
    </i>
    <i>
      <x v="8"/>
    </i>
    <i>
      <x v="7"/>
    </i>
    <i>
      <x v="25"/>
    </i>
    <i>
      <x/>
    </i>
    <i>
      <x v="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2" hier="-1"/>
  </pageFields>
  <dataFields count="12">
    <dataField name="Sum of attempted" fld="4" baseField="0" baseItem="0"/>
    <dataField name="Sum of completed" fld="3" baseField="0" baseItem="0"/>
    <dataField name="Sum of Passes %" fld="19" baseField="0" baseItem="0"/>
    <dataField name="Short passes attempted" fld="7" baseField="0" baseItem="11"/>
    <dataField name="Short passes completed" fld="6" baseField="0" baseItem="11"/>
    <dataField name="Sum of Short passes %" fld="21" baseField="0" baseItem="0"/>
    <dataField name="Long passes attempted" fld="11" baseField="0" baseItem="11"/>
    <dataField name="Long passes completed" fld="10" baseField="0" baseItem="11"/>
    <dataField name="Sum of Long passes %" fld="20" baseField="0" baseItem="0"/>
    <dataField name="Sum of key passes" fld="14" baseField="0" baseItem="0"/>
    <dataField name="Sum of pass to 1/3" fld="15" baseField="0" baseItem="0"/>
    <dataField name="Sum of Prog pass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5D577-C3FD-4B5A-9619-583429115D5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9" firstHeaderRow="0" firstDataRow="1" firstDataCol="1" rowPageCount="1" colPageCount="1"/>
  <pivotFields count="22">
    <pivotField axis="axisRow" showAll="0" sortType="descending">
      <items count="26">
        <item x="22"/>
        <item x="5"/>
        <item x="23"/>
        <item x="2"/>
        <item x="6"/>
        <item x="15"/>
        <item x="24"/>
        <item x="11"/>
        <item x="14"/>
        <item x="9"/>
        <item x="3"/>
        <item x="20"/>
        <item x="13"/>
        <item x="4"/>
        <item x="8"/>
        <item x="12"/>
        <item x="17"/>
        <item x="10"/>
        <item x="19"/>
        <item x="1"/>
        <item x="16"/>
        <item x="0"/>
        <item x="7"/>
        <item x="21"/>
        <item x="18"/>
        <item t="default"/>
      </items>
      <autoSortScope>
        <pivotArea dataOnly="0" outline="0" fieldPosition="0">
          <references count="1">
            <reference field="4294967294" count="1" selected="0">
              <x v="11"/>
            </reference>
          </references>
        </pivotArea>
      </autoSortScope>
    </pivotField>
    <pivotField showAll="0"/>
    <pivotField axis="axisPage" showAll="0">
      <items count="8">
        <item x="4"/>
        <item x="6"/>
        <item x="5"/>
        <item x="1"/>
        <item x="2"/>
        <item x="0"/>
        <item x="3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26">
    <i>
      <x v="21"/>
    </i>
    <i>
      <x v="1"/>
    </i>
    <i>
      <x v="22"/>
    </i>
    <i>
      <x v="19"/>
    </i>
    <i>
      <x v="13"/>
    </i>
    <i>
      <x v="14"/>
    </i>
    <i>
      <x v="9"/>
    </i>
    <i>
      <x v="17"/>
    </i>
    <i>
      <x v="12"/>
    </i>
    <i>
      <x v="10"/>
    </i>
    <i>
      <x v="15"/>
    </i>
    <i>
      <x v="8"/>
    </i>
    <i>
      <x v="7"/>
    </i>
    <i>
      <x v="5"/>
    </i>
    <i>
      <x v="16"/>
    </i>
    <i>
      <x v="20"/>
    </i>
    <i>
      <x v="4"/>
    </i>
    <i>
      <x v="18"/>
    </i>
    <i>
      <x v="11"/>
    </i>
    <i>
      <x v="3"/>
    </i>
    <i>
      <x v="23"/>
    </i>
    <i>
      <x v="2"/>
    </i>
    <i>
      <x/>
    </i>
    <i>
      <x v="24"/>
    </i>
    <i>
      <x v="6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2" hier="-1"/>
  </pageFields>
  <dataFields count="12">
    <dataField name="Sum of attempted" fld="4" baseField="0" baseItem="0"/>
    <dataField name="Sum of completed" fld="3" baseField="0" baseItem="0"/>
    <dataField name="Sum of Passes %" fld="19" baseField="0" baseItem="0"/>
    <dataField name="Short passes attempted" fld="7" baseField="0" baseItem="0"/>
    <dataField name="Short passes completed" fld="6" baseField="0" baseItem="0"/>
    <dataField name="Sum of Short passes %" fld="20" baseField="0" baseItem="0"/>
    <dataField name="Long passes attempted" fld="11" baseField="0" baseItem="0"/>
    <dataField name="Long passes completed" fld="10" baseField="0" baseItem="0"/>
    <dataField name="Sum of Long passes %" fld="21" baseField="0" baseItem="0"/>
    <dataField name="Sum of key passes" fld="14" baseField="0" baseItem="0"/>
    <dataField name="Sum of pass to 1/3" fld="15" baseField="0" baseItem="0"/>
    <dataField name="Sum of Prog pass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9D3E9-45A9-40AF-AEFA-AE3ED5805F8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0" firstHeaderRow="0" firstDataRow="1" firstDataCol="1" rowPageCount="1" colPageCount="1"/>
  <pivotFields count="15">
    <pivotField axis="axisRow" showAll="0" sortType="descending">
      <items count="27">
        <item x="22"/>
        <item x="2"/>
        <item x="24"/>
        <item x="7"/>
        <item x="0"/>
        <item x="8"/>
        <item x="17"/>
        <item x="20"/>
        <item x="23"/>
        <item x="15"/>
        <item x="18"/>
        <item x="1"/>
        <item x="11"/>
        <item x="13"/>
        <item x="3"/>
        <item x="4"/>
        <item x="12"/>
        <item x="16"/>
        <item x="25"/>
        <item x="19"/>
        <item x="6"/>
        <item x="5"/>
        <item x="21"/>
        <item x="10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axis="axisPage" showAll="0">
      <items count="8">
        <item x="1"/>
        <item x="4"/>
        <item x="0"/>
        <item x="6"/>
        <item x="5"/>
        <item x="3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27">
    <i>
      <x v="4"/>
    </i>
    <i>
      <x v="24"/>
    </i>
    <i>
      <x v="20"/>
    </i>
    <i>
      <x v="11"/>
    </i>
    <i>
      <x v="1"/>
    </i>
    <i>
      <x v="15"/>
    </i>
    <i>
      <x v="12"/>
    </i>
    <i>
      <x v="9"/>
    </i>
    <i>
      <x v="6"/>
    </i>
    <i>
      <x v="5"/>
    </i>
    <i>
      <x v="23"/>
    </i>
    <i>
      <x v="21"/>
    </i>
    <i>
      <x v="10"/>
    </i>
    <i>
      <x v="13"/>
    </i>
    <i>
      <x v="8"/>
    </i>
    <i>
      <x v="14"/>
    </i>
    <i>
      <x v="16"/>
    </i>
    <i>
      <x v="7"/>
    </i>
    <i>
      <x v="22"/>
    </i>
    <i>
      <x v="17"/>
    </i>
    <i>
      <x v="18"/>
    </i>
    <i>
      <x v="2"/>
    </i>
    <i>
      <x v="19"/>
    </i>
    <i>
      <x v="25"/>
    </i>
    <i>
      <x v="3"/>
    </i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-1"/>
  </pageFields>
  <dataFields count="6">
    <dataField name="Sum of Goals" fld="3" baseField="0" baseItem="0"/>
    <dataField name="Sum of Shoots" fld="4" baseField="0" baseItem="0"/>
    <dataField name="Sum of S on Target" fld="5" baseField="0" baseItem="0"/>
    <dataField name="Sum of Shoots per match" fld="12" baseField="0" baseItem="0" numFmtId="2"/>
    <dataField name="Sum of S on T per match" fld="13" baseField="0" baseItem="0" numFmtId="2"/>
    <dataField name="Sum of Goals % per S on T" fld="14" baseField="0" baseItem="0"/>
  </dataFields>
  <formats count="4">
    <format dxfId="14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4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4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7E471-7AB8-4DCC-8C4F-1DBED49D8548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9" firstHeaderRow="0" firstDataRow="1" firstDataCol="1" rowPageCount="1" colPageCount="1"/>
  <pivotFields count="14">
    <pivotField axis="axisRow" showAll="0" sortType="descending">
      <items count="26">
        <item x="22"/>
        <item x="5"/>
        <item x="23"/>
        <item x="2"/>
        <item x="6"/>
        <item x="15"/>
        <item x="24"/>
        <item x="11"/>
        <item x="14"/>
        <item x="9"/>
        <item x="3"/>
        <item x="20"/>
        <item x="13"/>
        <item x="4"/>
        <item x="8"/>
        <item x="12"/>
        <item x="17"/>
        <item x="10"/>
        <item x="19"/>
        <item x="1"/>
        <item x="16"/>
        <item x="0"/>
        <item x="7"/>
        <item x="21"/>
        <item x="18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axis="axisPage" showAll="0">
      <items count="8">
        <item x="4"/>
        <item x="6"/>
        <item x="5"/>
        <item x="1"/>
        <item x="2"/>
        <item x="0"/>
        <item x="3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26">
    <i>
      <x v="18"/>
    </i>
    <i>
      <x v="5"/>
    </i>
    <i>
      <x v="4"/>
    </i>
    <i>
      <x v="20"/>
    </i>
    <i>
      <x v="8"/>
    </i>
    <i>
      <x v="14"/>
    </i>
    <i>
      <x v="1"/>
    </i>
    <i>
      <x v="17"/>
    </i>
    <i>
      <x v="19"/>
    </i>
    <i>
      <x v="21"/>
    </i>
    <i>
      <x v="9"/>
    </i>
    <i>
      <x v="10"/>
    </i>
    <i>
      <x v="12"/>
    </i>
    <i>
      <x v="15"/>
    </i>
    <i>
      <x v="7"/>
    </i>
    <i>
      <x v="16"/>
    </i>
    <i>
      <x/>
    </i>
    <i>
      <x v="22"/>
    </i>
    <i>
      <x v="13"/>
    </i>
    <i>
      <x v="24"/>
    </i>
    <i>
      <x v="6"/>
    </i>
    <i>
      <x v="23"/>
    </i>
    <i>
      <x v="1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-1"/>
  </pageFields>
  <dataFields count="6">
    <dataField name="Sum of Goals" fld="3" baseField="0" baseItem="0"/>
    <dataField name="Sum of Shoots" fld="4" baseField="0" baseItem="0"/>
    <dataField name="Sum of S on Target" fld="5" baseField="0" baseItem="0"/>
    <dataField name="Sum of Shoots per match" fld="11" baseField="0" baseItem="0" numFmtId="2"/>
    <dataField name="Sum of S on T per match" fld="12" baseField="0" baseItem="0" numFmtId="2"/>
    <dataField name="Sum of Goals % per S on T" fld="13" baseField="0" baseItem="0"/>
  </dataFields>
  <formats count="4">
    <format dxfId="13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493F7-EA37-404C-94A2-CF5F3F3C535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30" firstHeaderRow="0" firstDataRow="1" firstDataCol="1" rowPageCount="1" colPageCount="1"/>
  <pivotFields count="16">
    <pivotField axis="axisRow" showAll="0" sortType="descending">
      <items count="27">
        <item x="22"/>
        <item x="2"/>
        <item x="24"/>
        <item x="7"/>
        <item x="0"/>
        <item x="8"/>
        <item x="17"/>
        <item x="20"/>
        <item x="23"/>
        <item x="15"/>
        <item x="18"/>
        <item x="1"/>
        <item x="11"/>
        <item x="13"/>
        <item x="3"/>
        <item x="4"/>
        <item x="12"/>
        <item x="16"/>
        <item x="25"/>
        <item x="19"/>
        <item x="6"/>
        <item x="5"/>
        <item x="21"/>
        <item x="10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11"/>
            </reference>
          </references>
        </pivotArea>
      </autoSortScope>
    </pivotField>
    <pivotField showAll="0"/>
    <pivotField axis="axisPage" showAll="0">
      <items count="8">
        <item x="1"/>
        <item x="4"/>
        <item x="0"/>
        <item x="6"/>
        <item x="5"/>
        <item x="3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27">
    <i>
      <x v="11"/>
    </i>
    <i>
      <x v="14"/>
    </i>
    <i>
      <x v="1"/>
    </i>
    <i>
      <x v="20"/>
    </i>
    <i>
      <x v="3"/>
    </i>
    <i>
      <x v="13"/>
    </i>
    <i>
      <x v="6"/>
    </i>
    <i>
      <x v="17"/>
    </i>
    <i>
      <x v="10"/>
    </i>
    <i>
      <x v="21"/>
    </i>
    <i>
      <x v="23"/>
    </i>
    <i>
      <x v="24"/>
    </i>
    <i>
      <x v="25"/>
    </i>
    <i>
      <x/>
    </i>
    <i>
      <x v="12"/>
    </i>
    <i>
      <x v="22"/>
    </i>
    <i>
      <x v="15"/>
    </i>
    <i>
      <x v="7"/>
    </i>
    <i>
      <x v="16"/>
    </i>
    <i>
      <x v="5"/>
    </i>
    <i>
      <x v="9"/>
    </i>
    <i>
      <x v="2"/>
    </i>
    <i>
      <x v="18"/>
    </i>
    <i>
      <x v="8"/>
    </i>
    <i>
      <x v="19"/>
    </i>
    <i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2" hier="-1"/>
  </pageFields>
  <dataFields count="12">
    <dataField name="Sum of Tackles" fld="3" baseField="0" baseItem="0"/>
    <dataField name="Sum of Tackles Won" fld="4" baseField="0" baseItem="0"/>
    <dataField name="Sum of Tackles %" fld="15" baseField="0" baseItem="0"/>
    <dataField name="Sum of Tackles Def " fld="5" baseField="0" baseItem="0"/>
    <dataField name="Sum of Tackles Mid " fld="6" baseField="0" baseItem="0"/>
    <dataField name="Sum of Dribbles Tackled" fld="7" baseField="0" baseItem="0"/>
    <dataField name="Sum of Tackles Lost" fld="8" baseField="0" baseItem="0"/>
    <dataField name="Sum of Shoots Block" fld="10" baseField="0" baseItem="0"/>
    <dataField name="Sum of Passes Block" fld="11" baseField="0" baseItem="0"/>
    <dataField name="Sum of Interceptions" fld="12" baseField="0" baseItem="0"/>
    <dataField name="Sum of Clearances" fld="13" baseField="0" baseItem="0"/>
    <dataField name="Sum of Errors to shoot" fld="14" baseField="0" baseItem="0"/>
  </dataFields>
  <formats count="1">
    <format dxfId="116">
      <pivotArea dataOnly="0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DEC52-C40C-4A18-96F5-6350C7A1FDDD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9" firstHeaderRow="0" firstDataRow="1" firstDataCol="1" rowPageCount="1" colPageCount="1"/>
  <pivotFields count="16">
    <pivotField axis="axisRow" showAll="0" sortType="descending">
      <items count="26">
        <item x="22"/>
        <item x="5"/>
        <item x="23"/>
        <item x="2"/>
        <item x="6"/>
        <item x="15"/>
        <item x="24"/>
        <item x="11"/>
        <item x="14"/>
        <item x="9"/>
        <item x="3"/>
        <item x="20"/>
        <item x="13"/>
        <item x="4"/>
        <item x="8"/>
        <item x="12"/>
        <item x="17"/>
        <item x="10"/>
        <item x="19"/>
        <item x="1"/>
        <item x="16"/>
        <item x="0"/>
        <item x="7"/>
        <item x="21"/>
        <item x="18"/>
        <item t="default"/>
      </items>
      <autoSortScope>
        <pivotArea dataOnly="0" outline="0" fieldPosition="0">
          <references count="1">
            <reference field="4294967294" count="1" selected="0">
              <x v="11"/>
            </reference>
          </references>
        </pivotArea>
      </autoSortScope>
    </pivotField>
    <pivotField showAll="0"/>
    <pivotField axis="axisPage" showAll="0">
      <items count="8">
        <item x="4"/>
        <item x="6"/>
        <item x="5"/>
        <item x="1"/>
        <item x="2"/>
        <item x="0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26">
    <i>
      <x v="21"/>
    </i>
    <i>
      <x v="14"/>
    </i>
    <i>
      <x v="9"/>
    </i>
    <i>
      <x v="3"/>
    </i>
    <i>
      <x v="19"/>
    </i>
    <i>
      <x v="16"/>
    </i>
    <i>
      <x v="1"/>
    </i>
    <i>
      <x v="13"/>
    </i>
    <i>
      <x v="10"/>
    </i>
    <i>
      <x v="24"/>
    </i>
    <i>
      <x v="17"/>
    </i>
    <i>
      <x v="2"/>
    </i>
    <i>
      <x v="8"/>
    </i>
    <i>
      <x v="23"/>
    </i>
    <i>
      <x v="4"/>
    </i>
    <i>
      <x/>
    </i>
    <i>
      <x v="18"/>
    </i>
    <i>
      <x v="5"/>
    </i>
    <i>
      <x v="20"/>
    </i>
    <i>
      <x v="6"/>
    </i>
    <i>
      <x v="22"/>
    </i>
    <i>
      <x v="15"/>
    </i>
    <i>
      <x v="7"/>
    </i>
    <i>
      <x v="11"/>
    </i>
    <i>
      <x v="1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2" hier="-1"/>
  </pageFields>
  <dataFields count="12">
    <dataField name="Sum of Tackles" fld="3" baseField="0" baseItem="0"/>
    <dataField name="Sum of Tackles Won" fld="4" baseField="0" baseItem="0"/>
    <dataField name="Sum of Tackles %" fld="15" baseField="0" baseItem="0"/>
    <dataField name="Sum of Tackles Def " fld="5" baseField="0" baseItem="0"/>
    <dataField name="Sum of Tackles Mid " fld="6" baseField="0" baseItem="0"/>
    <dataField name="Sum of Dribbles Tackled" fld="7" baseField="0" baseItem="0"/>
    <dataField name="Sum of Tackles Lost" fld="8" baseField="0" baseItem="0"/>
    <dataField name="Sum of Shoots Block" fld="10" baseField="0" baseItem="0"/>
    <dataField name="Sum of Passes Block" fld="11" baseField="0" baseItem="0"/>
    <dataField name="Sum of Interceptions" fld="12" baseField="0" baseItem="0"/>
    <dataField name="Sum of Clearances" fld="13" baseField="0" baseItem="0"/>
    <dataField name="Sum of Errors to shoo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913FE-4839-4F28-A5AE-4B916588153A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6" firstHeaderRow="0" firstDataRow="1" firstDataCol="1"/>
  <pivotFields count="17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>
      <items count="3">
        <item x="1"/>
        <item x="0"/>
        <item t="default"/>
      </items>
    </pivotField>
    <pivotField dataField="1" showAll="0"/>
    <pivotField showAll="0"/>
    <pivotField dataField="1" showAll="0"/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Goals against" fld="3" baseField="0" baseItem="0"/>
    <dataField name="Sum of Penalty goal" fld="4" baseField="0" baseItem="0"/>
    <dataField name="Sum of Corner goal" fld="6" baseField="0" baseItem="0"/>
    <dataField name="Sum of Own goal" fld="7" baseField="0" baseItem="0"/>
    <dataField name="Sum of Shots on Target" fld="8" baseField="0" baseItem="0"/>
    <dataField name="Sum of Saves" fld="9" baseField="0" baseItem="0"/>
    <dataField name="Sum of Saves % " fld="16" baseField="0" baseItem="0" numFmtId="9"/>
    <dataField name="Sum of Launched  Passes completed" fld="11" baseField="0" baseItem="0"/>
    <dataField name="Sum of Crosses faced" fld="13" baseField="0" baseItem="0"/>
    <dataField name="Sum of Crosses stoped" fld="14" baseField="0" baseItem="0"/>
    <dataField name="Sum of Def actions outstide PA" fld="15" baseField="0" baseItem="0"/>
  </dataFields>
  <formats count="1">
    <format dxfId="85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48440-B4E2-4B88-ACA4-240B417D6FFD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6" firstHeaderRow="0" firstDataRow="1" firstDataCol="1"/>
  <pivotFields count="17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Goals against" fld="3" baseField="0" baseItem="0"/>
    <dataField name="Sum of Penalty goal" fld="4" baseField="0" baseItem="0"/>
    <dataField name="Sum of Corner goal" fld="6" baseField="0" baseItem="0"/>
    <dataField name="Sum of Own goal" fld="7" baseField="0" baseItem="0"/>
    <dataField name="Sum of Shots on Target" fld="8" baseField="0" baseItem="0"/>
    <dataField name="Sum of Saves" fld="9" baseField="0" baseItem="0"/>
    <dataField name="Sum of Saves %" fld="16" baseField="0" baseItem="0" numFmtId="9"/>
    <dataField name="Sum of Launched  Passes completed" fld="11" baseField="0" baseItem="0"/>
    <dataField name="Sum of Crosses faced" fld="13" baseField="0" baseItem="0"/>
    <dataField name="Sum of Crosses stoped" fld="14" baseField="0" baseItem="0"/>
    <dataField name="Sum of Def actions outstide PA" fld="15" baseField="0" baseItem="0"/>
  </dataFields>
  <formats count="1">
    <format dxfId="70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813ADCB4-AECB-4E1E-951D-7E4D2260A0BC}" autoFormatId="16" applyNumberFormats="0" applyBorderFormats="0" applyFontFormats="0" applyPatternFormats="0" applyAlignmentFormats="0" applyWidthHeightFormats="0">
  <queryTableRefresh nextId="52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9" name="Column29" tableColumnId="29"/>
      <queryTableField id="30" name="Column30" tableColumnId="30"/>
    </queryTableFields>
    <queryTableDeletedFields count="6">
      <deletedField name="Column20"/>
      <deletedField name="Column28"/>
      <deletedField name="Column31"/>
      <deletedField name="Column32"/>
      <deletedField name="Column33"/>
      <deletedField name="Column3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5211623B-4A0A-4658-AD7A-80857E633180}" autoFormatId="16" applyNumberFormats="0" applyBorderFormats="0" applyFontFormats="0" applyPatternFormats="0" applyAlignmentFormats="0" applyWidthHeightFormats="0">
  <queryTableRefresh nextId="42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35" dataBound="0" tableColumnId="20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9" name="Column29" tableColumnId="29"/>
      <queryTableField id="30" name="Column30" tableColumnId="30"/>
    </queryTableFields>
    <queryTableDeletedFields count="7">
      <deletedField name="Column20"/>
      <deletedField name="Column28"/>
      <deletedField name="Column34"/>
      <deletedField name="Column31"/>
      <deletedField name="Column32"/>
      <deletedField name="Column33"/>
      <deletedField name="Column5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737E0B1-9DAC-4F38-9835-383425DD93F8}" autoFormatId="16" applyNumberFormats="0" applyBorderFormats="0" applyFontFormats="0" applyPatternFormats="0" applyAlignmentFormats="0" applyWidthHeightFormats="0">
  <queryTableRefresh nextId="46">
    <queryTableFields count="19">
      <queryTableField id="1" name="Column1" tableColumnId="1"/>
      <queryTableField id="2" name="Column2" tableColumnId="2"/>
      <queryTableField id="3" name="Column3" tableColumnId="3"/>
      <queryTableField id="6" name="Column6" tableColumnId="6"/>
      <queryTableField id="7" name="Column7" tableColumnId="7"/>
      <queryTableField id="9" name="Column9" tableColumnId="9"/>
      <queryTableField id="11" name="Column11" tableColumnId="11"/>
      <queryTableField id="12" name="Column12" tableColumnId="12"/>
      <queryTableField id="14" name="Column14" tableColumnId="14"/>
      <queryTableField id="15" name="Column15" tableColumnId="15"/>
      <queryTableField id="17" name="Column17" tableColumnId="17"/>
      <queryTableField id="18" name="Column18" tableColumnId="18"/>
      <queryTableField id="20" name="Column20" tableColumnId="20"/>
      <queryTableField id="22" name="Column22" tableColumnId="22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  <queryTableDeletedFields count="10">
      <deletedField name="Column4"/>
      <deletedField name="Column8"/>
      <deletedField name="Column21"/>
      <deletedField name="Column23"/>
      <deletedField name="Column10"/>
      <deletedField name="Column29"/>
      <deletedField name="Column5"/>
      <deletedField name="Column13"/>
      <deletedField name="Column16"/>
      <deletedField name="Column19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997D105-6AB1-4F57-BF66-74A643D7EE9F}" autoFormatId="16" applyNumberFormats="0" applyBorderFormats="0" applyFontFormats="0" applyPatternFormats="0" applyAlignmentFormats="0" applyWidthHeightFormats="0">
  <queryTableRefresh nextId="45">
    <queryTableFields count="19">
      <queryTableField id="1" name="Column1" tableColumnId="1"/>
      <queryTableField id="2" name="Column2" tableColumnId="2"/>
      <queryTableField id="3" name="Column3" tableColumnId="3"/>
      <queryTableField id="6" name="Column6" tableColumnId="6"/>
      <queryTableField id="7" name="Column7" tableColumnId="7"/>
      <queryTableField id="9" name="Column9" tableColumnId="9"/>
      <queryTableField id="11" name="Column11" tableColumnId="11"/>
      <queryTableField id="12" name="Column12" tableColumnId="12"/>
      <queryTableField id="14" name="Column14" tableColumnId="14"/>
      <queryTableField id="15" name="Column15" tableColumnId="15"/>
      <queryTableField id="17" name="Column17" tableColumnId="17"/>
      <queryTableField id="18" name="Column18" tableColumnId="18"/>
      <queryTableField id="20" name="Column20" tableColumnId="20"/>
      <queryTableField id="22" name="Column22" tableColumnId="22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  <queryTableDeletedFields count="10">
      <deletedField name="Column10"/>
      <deletedField name="Column13"/>
      <deletedField name="Column8"/>
      <deletedField name="Column16"/>
      <deletedField name="Column19"/>
      <deletedField name="Column21"/>
      <deletedField name="Column23"/>
      <deletedField name="Column29"/>
      <deletedField name="Column4"/>
      <deletedField name="Column5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8930310-5E31-437C-B9C9-EB1B0C548CE4}" autoFormatId="16" applyNumberFormats="0" applyBorderFormats="0" applyFontFormats="0" applyPatternFormats="0" applyAlignmentFormats="0" applyWidthHeightFormats="0">
  <queryTableRefresh nextId="30">
    <queryTableFields count="11">
      <queryTableField id="1" name="Column1" tableColumnId="1"/>
      <queryTableField id="2" name="Column2" tableColumnId="2"/>
      <queryTableField id="3" name="Column3" tableColumnId="3"/>
      <queryTableField id="6" name="Column6" tableColumnId="6"/>
      <queryTableField id="7" name="Column7" tableColumnId="7"/>
      <queryTableField id="8" name="Column8" tableColumnId="8"/>
      <queryTableField id="13" name="Column13" tableColumnId="13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  <queryTableDeletedFields count="12">
      <deletedField name="Column4"/>
      <deletedField name="Column5"/>
      <deletedField name="Column9"/>
      <deletedField name="Column11"/>
      <deletedField name="Column12"/>
      <deletedField name="Column14"/>
      <deletedField name="Column19"/>
      <deletedField name="Column20"/>
      <deletedField name="Column21"/>
      <deletedField name="Column22"/>
      <deletedField name="Column23"/>
      <deletedField name="Column10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51B49A3F-EE56-4F17-8065-F06953FE250F}" autoFormatId="16" applyNumberFormats="0" applyBorderFormats="0" applyFontFormats="0" applyPatternFormats="0" applyAlignmentFormats="0" applyWidthHeightFormats="0">
  <queryTableRefresh nextId="30">
    <queryTableFields count="11">
      <queryTableField id="1" name="Column1" tableColumnId="1"/>
      <queryTableField id="2" name="Column2" tableColumnId="2"/>
      <queryTableField id="3" name="Column3" tableColumnId="3"/>
      <queryTableField id="6" name="Column6" tableColumnId="6"/>
      <queryTableField id="7" name="Column7" tableColumnId="7"/>
      <queryTableField id="8" name="Column8" tableColumnId="8"/>
      <queryTableField id="13" name="Column13" tableColumnId="13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  <queryTableDeletedFields count="12">
      <deletedField name="Column4"/>
      <deletedField name="Column5"/>
      <deletedField name="Column9"/>
      <deletedField name="Column11"/>
      <deletedField name="Column12"/>
      <deletedField name="Column14"/>
      <deletedField name="Column19"/>
      <deletedField name="Column20"/>
      <deletedField name="Column21"/>
      <deletedField name="Column22"/>
      <deletedField name="Column23"/>
      <deletedField name="Column10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3CB7CD2-B418-4DCB-BD42-8026E16F3837}" autoFormatId="16" applyNumberFormats="0" applyBorderFormats="0" applyFontFormats="0" applyPatternFormats="0" applyAlignmentFormats="0" applyWidthHeightFormats="0">
  <queryTableRefresh nextId="35">
    <queryTableFields count="15">
      <queryTableField id="1" name="Column1" tableColumnId="1"/>
      <queryTableField id="2" name="Column2" tableColumnId="2"/>
      <queryTableField id="3" name="Column3" tableColumnId="3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1" name="Column11" tableColumnId="11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20" name="Column20" tableColumnId="20"/>
      <queryTableField id="21" name="Column21" tableColumnId="21"/>
    </queryTableFields>
    <queryTableDeletedFields count="7">
      <deletedField name="Column4"/>
      <deletedField name="Column5"/>
      <deletedField name="Column10"/>
      <deletedField name="Column12"/>
      <deletedField name="Column13"/>
      <deletedField name="Column19"/>
      <deletedField name="Column22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CB2A1B3-5FCA-4B93-8525-8CEA10298BFC}" autoFormatId="16" applyNumberFormats="0" applyBorderFormats="0" applyFontFormats="0" applyPatternFormats="0" applyAlignmentFormats="0" applyWidthHeightFormats="0">
  <queryTableRefresh nextId="35">
    <queryTableFields count="15">
      <queryTableField id="1" name="Column1" tableColumnId="1"/>
      <queryTableField id="2" name="Column2" tableColumnId="2"/>
      <queryTableField id="3" name="Column3" tableColumnId="3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1" name="Column11" tableColumnId="11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20" name="Column20" tableColumnId="20"/>
      <queryTableField id="21" name="Column21" tableColumnId="21"/>
    </queryTableFields>
    <queryTableDeletedFields count="7">
      <deletedField name="Column4"/>
      <deletedField name="Column5"/>
      <deletedField name="Column10"/>
      <deletedField name="Column12"/>
      <deletedField name="Column13"/>
      <deletedField name="Column19"/>
      <deletedField name="Column22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6CCCEA-4E32-4F4D-8EA9-2C4D1312B68F}" autoFormatId="16" applyNumberFormats="0" applyBorderFormats="0" applyFontFormats="0" applyPatternFormats="0" applyAlignmentFormats="0" applyWidthHeightFormats="0">
  <queryTableRefresh nextId="44">
    <queryTableFields count="16">
      <queryTableField id="1" name="Column1" tableColumnId="1"/>
      <queryTableField id="2" name="Column2" tableColumnId="2"/>
      <queryTableField id="3" name="Column3" tableColumnId="3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32" dataBound="0" tableColumnId="5"/>
      <queryTableField id="33" dataBound="0" tableColumnId="32"/>
      <queryTableField id="11" name="Column11" tableColumnId="11"/>
      <queryTableField id="15" name="Column15" tableColumnId="15"/>
      <queryTableField id="17" name="Column17" tableColumnId="17"/>
      <queryTableField id="25" name="Column25" tableColumnId="25"/>
      <queryTableField id="26" name="Column26" tableColumnId="26"/>
      <queryTableField id="28" name="Column28" tableColumnId="28"/>
    </queryTableFields>
    <queryTableDeletedFields count="17">
      <deletedField name="Column4"/>
      <deletedField name="Column5"/>
      <deletedField name="Column12"/>
      <deletedField name="Column13"/>
      <deletedField name="Column14"/>
      <deletedField name="Column16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7"/>
      <deletedField name="Column29"/>
      <deletedField name="Column30"/>
      <deletedField name="Column31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7FD8F1-CCC9-4776-9B61-699B7405026E}" autoFormatId="16" applyNumberFormats="0" applyBorderFormats="0" applyFontFormats="0" applyPatternFormats="0" applyAlignmentFormats="0" applyWidthHeightFormats="0">
  <queryTableRefresh nextId="42">
    <queryTableFields count="16">
      <queryTableField id="1" name="Column1" tableColumnId="1"/>
      <queryTableField id="2" name="Column2" tableColumnId="2"/>
      <queryTableField id="3" name="Column3" tableColumnId="3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32" dataBound="0" tableColumnId="4"/>
      <queryTableField id="33" dataBound="0" tableColumnId="5"/>
      <queryTableField id="11" name="Column11" tableColumnId="11"/>
      <queryTableField id="15" name="Column15" tableColumnId="15"/>
      <queryTableField id="17" name="Column17" tableColumnId="17"/>
      <queryTableField id="25" name="Column25" tableColumnId="25"/>
      <queryTableField id="26" name="Column26" tableColumnId="26"/>
      <queryTableField id="28" name="Column28" tableColumnId="28"/>
    </queryTableFields>
    <queryTableDeletedFields count="17">
      <deletedField name="Column4"/>
      <deletedField name="Column5"/>
      <deletedField name="Column12"/>
      <deletedField name="Column13"/>
      <deletedField name="Column14"/>
      <deletedField name="Column16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7"/>
      <deletedField name="Column29"/>
      <deletedField name="Column30"/>
      <deletedField name="Column31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03F3384-AD41-4A4F-9C91-102A4CE64365}" autoFormatId="16" applyNumberFormats="0" applyBorderFormats="0" applyFontFormats="0" applyPatternFormats="0" applyAlignmentFormats="0" applyWidthHeightFormats="0">
  <queryTableRefresh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58C6004-3F5F-4104-98CE-11BE618FB53E}" autoFormatId="16" applyNumberFormats="0" applyBorderFormats="0" applyFontFormats="0" applyPatternFormats="0" applyAlignmentFormats="0" applyWidthHeightFormats="0">
  <queryTableRefresh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7737E-0211-4CCC-A50B-9CF7A163157A}" name="Standard_Stats_2024_2025_Manchester_City__Premier_League_Table" displayName="Standard_Stats_2024_2025_Manchester_City__Premier_League_Table" ref="A1:AB38" tableType="queryTable" totalsRowShown="0">
  <autoFilter ref="A1:AB38" xr:uid="{6827737E-0211-4CCC-A50B-9CF7A163157A}"/>
  <tableColumns count="28">
    <tableColumn id="1" xr3:uid="{7DDE06D4-3747-4D52-9DE2-D93456357AC9}" uniqueName="1" name="Column1" queryTableFieldId="1" dataDxfId="244"/>
    <tableColumn id="2" xr3:uid="{953AE4ED-8D32-4B65-B683-37383912CC29}" uniqueName="2" name="Column2" queryTableFieldId="2" dataDxfId="243"/>
    <tableColumn id="3" xr3:uid="{A16CEF8B-91A8-45DB-802A-ECC8235D3EC6}" uniqueName="3" name="Column3" queryTableFieldId="3" dataDxfId="242"/>
    <tableColumn id="4" xr3:uid="{CA598BB1-AC63-4444-A2FA-202C2344690B}" uniqueName="4" name="Column4" queryTableFieldId="4" dataDxfId="241"/>
    <tableColumn id="5" xr3:uid="{5548AAB2-C36C-4A12-AC5E-58E3B7FF4D7B}" uniqueName="5" name="Column5" queryTableFieldId="5" dataDxfId="240"/>
    <tableColumn id="6" xr3:uid="{AA57D724-60A4-4576-A50F-DEF18B5AE3E1}" uniqueName="6" name="Column6" queryTableFieldId="6" dataDxfId="239"/>
    <tableColumn id="7" xr3:uid="{73C1EB5B-3931-4099-A408-92EACC3118D5}" uniqueName="7" name="Column7" queryTableFieldId="7" dataDxfId="238"/>
    <tableColumn id="8" xr3:uid="{E24E25B4-F4B4-43A5-BE0E-3458E3F632F4}" uniqueName="8" name="Column8" queryTableFieldId="8" dataDxfId="237"/>
    <tableColumn id="9" xr3:uid="{66CC9E45-CCDF-422D-8558-7725ECE9095A}" uniqueName="9" name="Column9" queryTableFieldId="9" dataDxfId="236"/>
    <tableColumn id="10" xr3:uid="{9A8D096F-4598-432A-ABEC-8B387B4BA93D}" uniqueName="10" name="Column10" queryTableFieldId="10" dataDxfId="235"/>
    <tableColumn id="11" xr3:uid="{0898DB49-784E-48E4-9F51-716040490728}" uniqueName="11" name="Column11" queryTableFieldId="11" dataDxfId="234"/>
    <tableColumn id="12" xr3:uid="{474AB071-F654-49CB-8300-21D866CE07F5}" uniqueName="12" name="Column12" queryTableFieldId="12" dataDxfId="233"/>
    <tableColumn id="13" xr3:uid="{195D64DA-2B43-42D3-AEEF-73D5B52DA189}" uniqueName="13" name="Column13" queryTableFieldId="13" dataDxfId="232"/>
    <tableColumn id="14" xr3:uid="{F7A149B5-5A2B-4248-886C-5265F72D136E}" uniqueName="14" name="Column14" queryTableFieldId="14" dataDxfId="231"/>
    <tableColumn id="15" xr3:uid="{DF2A1C24-24F7-4C2D-96B5-1551663AE54A}" uniqueName="15" name="Column15" queryTableFieldId="15" dataDxfId="230"/>
    <tableColumn id="16" xr3:uid="{89D27AE1-0293-4AB1-A827-E0B874CB1ECF}" uniqueName="16" name="Column16" queryTableFieldId="16" dataDxfId="229"/>
    <tableColumn id="17" xr3:uid="{5710055E-FBDA-4D1E-892A-61A5DB93B3BB}" uniqueName="17" name="Column17" queryTableFieldId="17" dataDxfId="228"/>
    <tableColumn id="18" xr3:uid="{A2A43E4B-5EBE-454A-9E2A-3C0A7D5104EF}" uniqueName="18" name="Column18" queryTableFieldId="18" dataDxfId="227"/>
    <tableColumn id="19" xr3:uid="{8FDFDC05-3231-4FAC-BBC9-DBF454DBDF10}" uniqueName="19" name="Column19" queryTableFieldId="19" dataDxfId="226"/>
    <tableColumn id="21" xr3:uid="{20F27DF0-8967-4A49-BD4C-70F56A4E8C15}" uniqueName="21" name="Column21" queryTableFieldId="21" dataDxfId="225"/>
    <tableColumn id="22" xr3:uid="{48C4EAE3-28B1-46EB-B9FD-0A88C5CA2881}" uniqueName="22" name="Column22" queryTableFieldId="22" dataDxfId="224"/>
    <tableColumn id="23" xr3:uid="{FDA7992E-97B7-4650-A469-6D55C6F5D363}" uniqueName="23" name="Column23" queryTableFieldId="23" dataDxfId="223"/>
    <tableColumn id="24" xr3:uid="{4ED69C3D-1690-42C3-AEC6-9F84E585AEDC}" uniqueName="24" name="Column24" queryTableFieldId="24" dataDxfId="222"/>
    <tableColumn id="25" xr3:uid="{FF7333A0-68A2-43D0-9635-35DE4305D4FC}" uniqueName="25" name="Column25" queryTableFieldId="25" dataDxfId="221"/>
    <tableColumn id="26" xr3:uid="{BCE3D0AA-7928-4C0A-A6CB-5210DD8E0C8E}" uniqueName="26" name="Column26" queryTableFieldId="26" dataDxfId="220"/>
    <tableColumn id="27" xr3:uid="{6AF86C5D-E160-4E9D-BD6F-75BF371593EA}" uniqueName="27" name="Column27" queryTableFieldId="27" dataDxfId="219"/>
    <tableColumn id="29" xr3:uid="{A37D1A45-2964-4FFA-B261-029018B39722}" uniqueName="29" name="Column29" queryTableFieldId="29" dataDxfId="218"/>
    <tableColumn id="30" xr3:uid="{8C06E301-358C-4CFE-8AAA-A20AD346B3CB}" uniqueName="30" name="Column30" queryTableFieldId="30" dataDxfId="2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D3ACCD-E23A-4E80-AAA1-A94B389FEA41}" name="Standard_Stats_2023_2024_Manchester_City__Premier_League_Table" displayName="Standard_Stats_2023_2024_Manchester_City__Premier_League_Table" ref="A1:AB35" tableType="queryTable" totalsRowShown="0">
  <autoFilter ref="A1:AB35" xr:uid="{19D3ACCD-E23A-4E80-AAA1-A94B389FEA41}"/>
  <tableColumns count="28">
    <tableColumn id="1" xr3:uid="{863DE8B1-EC73-4352-A089-77F9A51BE308}" uniqueName="1" name="Column1" queryTableFieldId="1" dataDxfId="216"/>
    <tableColumn id="2" xr3:uid="{61EA1BCB-77CF-4168-824D-DE015CE5EAC8}" uniqueName="2" name="Column2" queryTableFieldId="2" dataDxfId="215"/>
    <tableColumn id="3" xr3:uid="{71BCC81A-2BCE-4A99-8A52-0D11F92FA010}" uniqueName="3" name="Column3" queryTableFieldId="3" dataDxfId="214"/>
    <tableColumn id="4" xr3:uid="{C836C491-5478-4E79-81A3-30DF6EB7C1C0}" uniqueName="4" name="Column4" queryTableFieldId="4" dataDxfId="213"/>
    <tableColumn id="20" xr3:uid="{B7E6EAD3-FEAF-4FB7-A69F-8BFDB373AC53}" uniqueName="20" name="Column42" queryTableFieldId="35"/>
    <tableColumn id="6" xr3:uid="{A32E45A7-0E9E-4541-B882-4EC44F92B86E}" uniqueName="6" name="Column6" queryTableFieldId="6" dataDxfId="212"/>
    <tableColumn id="7" xr3:uid="{3668B897-9D78-4602-863E-C04BB2F1DEE6}" uniqueName="7" name="Column7" queryTableFieldId="7" dataDxfId="211"/>
    <tableColumn id="8" xr3:uid="{2BB51DE3-9386-462E-BBC8-2D38B44396CD}" uniqueName="8" name="Column8" queryTableFieldId="8" dataDxfId="210"/>
    <tableColumn id="9" xr3:uid="{DB84004B-7A4F-4744-B248-B53CB2082973}" uniqueName="9" name="Column9" queryTableFieldId="9" dataDxfId="209"/>
    <tableColumn id="10" xr3:uid="{241FB6E8-EFCC-4DDA-BA17-E53973A37873}" uniqueName="10" name="Column10" queryTableFieldId="10" dataDxfId="208"/>
    <tableColumn id="11" xr3:uid="{C5CB69E0-E5A4-48C0-A4C6-0AE670C30F0E}" uniqueName="11" name="Column11" queryTableFieldId="11" dataDxfId="207"/>
    <tableColumn id="12" xr3:uid="{353866E8-4D51-4643-97B6-2D13E078EAB5}" uniqueName="12" name="Column12" queryTableFieldId="12" dataDxfId="206"/>
    <tableColumn id="13" xr3:uid="{DA693C10-5A5B-4710-85A9-74918B6E2537}" uniqueName="13" name="Column13" queryTableFieldId="13" dataDxfId="205"/>
    <tableColumn id="14" xr3:uid="{B72C80CD-374F-4A32-8912-4867F15DDFF7}" uniqueName="14" name="Column14" queryTableFieldId="14" dataDxfId="204"/>
    <tableColumn id="15" xr3:uid="{9D534A8D-970B-4CED-A4B1-22FE088857BE}" uniqueName="15" name="Column15" queryTableFieldId="15" dataDxfId="203"/>
    <tableColumn id="16" xr3:uid="{E8A463AA-2F78-4F3B-A840-2C6FA0ECC9D6}" uniqueName="16" name="Column16" queryTableFieldId="16" dataDxfId="202"/>
    <tableColumn id="17" xr3:uid="{0B8D01CD-4C8F-447B-8BA2-A68DB4305CAD}" uniqueName="17" name="Column17" queryTableFieldId="17" dataDxfId="201"/>
    <tableColumn id="18" xr3:uid="{1C367092-90EC-488B-939A-A296AF31AB78}" uniqueName="18" name="Column18" queryTableFieldId="18" dataDxfId="200"/>
    <tableColumn id="19" xr3:uid="{0795AB5C-0A02-46DC-A13E-516746B7A9C3}" uniqueName="19" name="Column19" queryTableFieldId="19" dataDxfId="199"/>
    <tableColumn id="21" xr3:uid="{D7BAAA48-89C3-420A-B7F6-E041AA6DDC1A}" uniqueName="21" name="Column21" queryTableFieldId="21" dataDxfId="198"/>
    <tableColumn id="22" xr3:uid="{40FB4FDC-4892-4185-912B-5FAE3637C031}" uniqueName="22" name="Column22" queryTableFieldId="22" dataDxfId="197"/>
    <tableColumn id="23" xr3:uid="{2627511D-FD53-4175-BFEC-7E20EB7EC5E4}" uniqueName="23" name="Column23" queryTableFieldId="23" dataDxfId="196"/>
    <tableColumn id="24" xr3:uid="{FBACB156-66BA-4088-849B-E367C5EBAD5B}" uniqueName="24" name="Column24" queryTableFieldId="24" dataDxfId="195"/>
    <tableColumn id="25" xr3:uid="{626D7EB0-FF2D-4180-A4B7-87AFCC166E7E}" uniqueName="25" name="Column25" queryTableFieldId="25" dataDxfId="194"/>
    <tableColumn id="26" xr3:uid="{8CEA568E-E411-4405-8CA6-F700D38E203C}" uniqueName="26" name="Column26" queryTableFieldId="26" dataDxfId="193"/>
    <tableColumn id="27" xr3:uid="{342B5CAB-1260-4769-8A1F-DD6A19550B34}" uniqueName="27" name="Column27" queryTableFieldId="27" dataDxfId="192"/>
    <tableColumn id="29" xr3:uid="{6071346A-2DFB-491B-BC55-E0866C421C40}" uniqueName="29" name="Column29" queryTableFieldId="29" dataDxfId="191"/>
    <tableColumn id="30" xr3:uid="{DCF8C2AF-B2DF-451B-A548-7E9973AFA577}" uniqueName="30" name="Column30" queryTableFieldId="30" dataDxfId="190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54A65D-762A-4C02-8A5E-7F55F384A134}" name="Passing_2024_2025_Manchester_City__Premier_League_Table" displayName="Passing_2024_2025_Manchester_City__Premier_League_Table" ref="A1:S31" tableType="queryTable" totalsRowShown="0">
  <autoFilter ref="A1:S31" xr:uid="{FA54A65D-762A-4C02-8A5E-7F55F384A134}"/>
  <tableColumns count="19">
    <tableColumn id="1" xr3:uid="{F6BD44DB-6084-4FA2-B97B-0F0A855C699D}" uniqueName="1" name="Column1" queryTableFieldId="1" dataDxfId="184"/>
    <tableColumn id="2" xr3:uid="{CDBE5373-F668-4B03-8C65-1B6B19E4CF02}" uniqueName="2" name="Column2" queryTableFieldId="2" dataDxfId="183"/>
    <tableColumn id="3" xr3:uid="{53448430-E403-497E-B2B4-38C25607D5E2}" uniqueName="3" name="Column3" queryTableFieldId="3" dataDxfId="182"/>
    <tableColumn id="6" xr3:uid="{852D145E-CAC5-427A-9052-4D4FD2B170AC}" uniqueName="6" name="Column6" queryTableFieldId="6" dataDxfId="181"/>
    <tableColumn id="7" xr3:uid="{D069EC5A-8156-405A-978F-7008EC5FEFA2}" uniqueName="7" name="Column7" queryTableFieldId="7" dataDxfId="180"/>
    <tableColumn id="9" xr3:uid="{5685C889-2A3B-4955-837F-BBFA8026CF6D}" uniqueName="9" name="Column9" queryTableFieldId="9" dataDxfId="179"/>
    <tableColumn id="11" xr3:uid="{BBE80995-6A9E-400C-ABC0-D4A877F9F6CE}" uniqueName="11" name="Column11" queryTableFieldId="11" dataDxfId="178"/>
    <tableColumn id="12" xr3:uid="{B19C30C7-2D83-46B3-856B-1ACAB5423240}" uniqueName="12" name="Column12" queryTableFieldId="12" dataDxfId="177"/>
    <tableColumn id="14" xr3:uid="{FABF35AB-14F0-4A52-B4BF-2E53A825AA5E}" uniqueName="14" name="Column14" queryTableFieldId="14" dataDxfId="176"/>
    <tableColumn id="15" xr3:uid="{F5F74D06-19E0-46E8-9B06-65F3CA96A4BE}" uniqueName="15" name="Column15" queryTableFieldId="15" dataDxfId="175"/>
    <tableColumn id="17" xr3:uid="{BBF32932-613A-44F9-A6B8-704B468CD949}" uniqueName="17" name="Column17" queryTableFieldId="17" dataDxfId="174"/>
    <tableColumn id="18" xr3:uid="{E73DDEE5-9DB7-4941-A80B-637ED518C989}" uniqueName="18" name="Column18" queryTableFieldId="18" dataDxfId="173"/>
    <tableColumn id="20" xr3:uid="{94F25C51-2550-4802-B93D-4E740674CDDD}" uniqueName="20" name="Column20" queryTableFieldId="20" dataDxfId="172"/>
    <tableColumn id="22" xr3:uid="{F1A1E43E-EEAF-4919-A946-3806284828C8}" uniqueName="22" name="Column22" queryTableFieldId="22" dataDxfId="171"/>
    <tableColumn id="24" xr3:uid="{9B8E9078-0721-48E5-9520-8DF8CB48C546}" uniqueName="24" name="Column24" queryTableFieldId="24" dataDxfId="170"/>
    <tableColumn id="25" xr3:uid="{B9992F81-1859-42A5-9667-A538E5CC1EC0}" uniqueName="25" name="Column25" queryTableFieldId="25" dataDxfId="169"/>
    <tableColumn id="26" xr3:uid="{82EA76BC-5E83-451E-8C3F-1CC431BF85E9}" uniqueName="26" name="Column26" queryTableFieldId="26" dataDxfId="168"/>
    <tableColumn id="27" xr3:uid="{33DF75B7-E888-4486-8134-01099660AE5D}" uniqueName="27" name="Column27" queryTableFieldId="27" dataDxfId="167"/>
    <tableColumn id="28" xr3:uid="{4DC3296F-0C6D-48AE-907E-4F74560D5C9A}" uniqueName="28" name="Column28" queryTableFieldId="28" dataDxfId="166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5864C5-2B5B-4DFE-A59A-E3CB559E470F}" name="Passing_2023_2024_Manchester_City__Premier_League_Table" displayName="Passing_2023_2024_Manchester_City__Premier_League_Table" ref="A1:S30" tableType="queryTable" totalsRowShown="0">
  <autoFilter ref="A1:S30" xr:uid="{695864C5-2B5B-4DFE-A59A-E3CB559E470F}"/>
  <tableColumns count="19">
    <tableColumn id="1" xr3:uid="{4B778213-4A0A-4ED6-8AD4-BFB5EE71B45C}" uniqueName="1" name="Column1" queryTableFieldId="1" dataDxfId="165"/>
    <tableColumn id="2" xr3:uid="{0DEEFA0A-0E85-439B-8929-B110DCE991B9}" uniqueName="2" name="Column2" queryTableFieldId="2" dataDxfId="164"/>
    <tableColumn id="3" xr3:uid="{E3590527-1288-4379-9EDE-D7BB02D71537}" uniqueName="3" name="Column3" queryTableFieldId="3" dataDxfId="163"/>
    <tableColumn id="6" xr3:uid="{C891ADAB-556A-473E-88D5-08F73A10EB8A}" uniqueName="6" name="Column6" queryTableFieldId="6" dataDxfId="162"/>
    <tableColumn id="7" xr3:uid="{D04FA518-D9E6-41F5-86DA-91F07B60EA9F}" uniqueName="7" name="Column7" queryTableFieldId="7" dataDxfId="161"/>
    <tableColumn id="9" xr3:uid="{384C18C4-C75B-4001-B847-D3F4F43AF00E}" uniqueName="9" name="Column9" queryTableFieldId="9" dataDxfId="160"/>
    <tableColumn id="11" xr3:uid="{826D72C2-39D3-4FB9-A165-F73E8F7B8A70}" uniqueName="11" name="Column11" queryTableFieldId="11" dataDxfId="159"/>
    <tableColumn id="12" xr3:uid="{DB15A247-0642-4B97-9D1C-4C4CECAC457D}" uniqueName="12" name="Column12" queryTableFieldId="12" dataDxfId="158"/>
    <tableColumn id="14" xr3:uid="{F4E42793-0084-43BD-8465-D565D2F6F884}" uniqueName="14" name="Column14" queryTableFieldId="14" dataDxfId="157"/>
    <tableColumn id="15" xr3:uid="{65FD0C44-F655-4F1F-AD72-F70215AB412E}" uniqueName="15" name="Column15" queryTableFieldId="15" dataDxfId="156"/>
    <tableColumn id="17" xr3:uid="{442D70E5-9B3B-47AF-814B-FCFDB520EBF4}" uniqueName="17" name="Column17" queryTableFieldId="17" dataDxfId="155"/>
    <tableColumn id="18" xr3:uid="{B93FEE05-45B9-46C5-9EBD-1F9BA1D09D15}" uniqueName="18" name="Column18" queryTableFieldId="18" dataDxfId="154"/>
    <tableColumn id="20" xr3:uid="{0B059941-1E2B-4D77-B129-DBB7B3457EA4}" uniqueName="20" name="Column20" queryTableFieldId="20" dataDxfId="153"/>
    <tableColumn id="22" xr3:uid="{11D879A0-E2EA-4BAC-B7F1-FA35C9C6527A}" uniqueName="22" name="Column22" queryTableFieldId="22" dataDxfId="152"/>
    <tableColumn id="24" xr3:uid="{A53855A5-2253-4DF7-9CA7-585D277C46E7}" uniqueName="24" name="Column24" queryTableFieldId="24" dataDxfId="151"/>
    <tableColumn id="25" xr3:uid="{AD8664A6-D332-4EB3-968E-C0AB66D9B3A3}" uniqueName="25" name="Column25" queryTableFieldId="25" dataDxfId="150"/>
    <tableColumn id="26" xr3:uid="{B2D37DF3-BB97-43D7-8D76-9A4967E87CDF}" uniqueName="26" name="Column26" queryTableFieldId="26" dataDxfId="149"/>
    <tableColumn id="27" xr3:uid="{8BA8D455-A0D8-4B66-B20B-4B5CEBDB54C1}" uniqueName="27" name="Column27" queryTableFieldId="27" dataDxfId="148"/>
    <tableColumn id="28" xr3:uid="{2978CFE4-E95A-400C-BE1C-2E2C31F66C0F}" uniqueName="28" name="Column28" queryTableFieldId="28" dataDxfId="14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140303-9C6B-499A-9DCF-6C3DF35983D9}" name="Shooting_2024_2025_Manchester_City__Premier_League_Table" displayName="Shooting_2024_2025_Manchester_City__Premier_League_Table" ref="A1:K31" tableType="queryTable" totalsRowShown="0">
  <autoFilter ref="A1:K31" xr:uid="{D8140303-9C6B-499A-9DCF-6C3DF35983D9}"/>
  <tableColumns count="11">
    <tableColumn id="1" xr3:uid="{22F8EC16-156B-4B46-9BD3-3B3AEA79BA40}" uniqueName="1" name="Column1" queryTableFieldId="1" dataDxfId="142"/>
    <tableColumn id="2" xr3:uid="{907D727E-4BC8-4EE9-AD87-A6EB0DBF9F4C}" uniqueName="2" name="Column2" queryTableFieldId="2" dataDxfId="141"/>
    <tableColumn id="3" xr3:uid="{01785EA4-56E3-4719-A2FD-7AD63D3BC21C}" uniqueName="3" name="Column3" queryTableFieldId="3" dataDxfId="140"/>
    <tableColumn id="6" xr3:uid="{5FEF6BBD-126B-446C-80AF-122D21C9A2E7}" uniqueName="6" name="Column6" queryTableFieldId="6" dataDxfId="139"/>
    <tableColumn id="7" xr3:uid="{322C7034-21D7-411D-899A-8876D3A6C504}" uniqueName="7" name="Column7" queryTableFieldId="7" dataDxfId="138"/>
    <tableColumn id="8" xr3:uid="{AA7404A5-E8D2-40B5-9177-F13B19FDAF8E}" uniqueName="8" name="Column8" queryTableFieldId="8" dataDxfId="137"/>
    <tableColumn id="13" xr3:uid="{1E1FACB8-2167-4464-8A3D-FD6B95665BC5}" uniqueName="13" name="Column13" queryTableFieldId="13" dataDxfId="136"/>
    <tableColumn id="15" xr3:uid="{CC4B02A6-0E0C-42EC-BA65-39C905FEA1F4}" uniqueName="15" name="Column15" queryTableFieldId="15" dataDxfId="135"/>
    <tableColumn id="16" xr3:uid="{2AFAC766-7C1E-46B7-AF4B-410F5A88D1B4}" uniqueName="16" name="Column16" queryTableFieldId="16" dataDxfId="134"/>
    <tableColumn id="17" xr3:uid="{D890F5C8-B8E4-4A18-B508-1227B2112586}" uniqueName="17" name="Column17" queryTableFieldId="17" dataDxfId="133"/>
    <tableColumn id="18" xr3:uid="{57568774-D6D2-4707-B790-B203E03FB4F7}" uniqueName="18" name="Column18" queryTableFieldId="18" dataDxfId="132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0A418F-A9DA-4C5A-A642-2ED3256B7886}" name="Shooting_2023_2024_Manchester_City__Premier_League_Table" displayName="Shooting_2023_2024_Manchester_City__Premier_League_Table" ref="A1:K30" tableType="queryTable" totalsRowShown="0">
  <autoFilter ref="A1:K30" xr:uid="{D30A418F-A9DA-4C5A-A642-2ED3256B7886}"/>
  <tableColumns count="11">
    <tableColumn id="1" xr3:uid="{F32A7C2C-A013-4181-B2FF-A0E1E4668271}" uniqueName="1" name="Column1" queryTableFieldId="1" dataDxfId="127"/>
    <tableColumn id="2" xr3:uid="{80CB86B1-E53E-4B86-A59B-2597B7211533}" uniqueName="2" name="Column2" queryTableFieldId="2" dataDxfId="126"/>
    <tableColumn id="3" xr3:uid="{F43812FE-1DAD-4D34-93A6-03AA42CB7B3F}" uniqueName="3" name="Column3" queryTableFieldId="3" dataDxfId="125"/>
    <tableColumn id="6" xr3:uid="{971D445A-1FD4-4A2C-916F-DC9E7F1D2C07}" uniqueName="6" name="Column6" queryTableFieldId="6" dataDxfId="124"/>
    <tableColumn id="7" xr3:uid="{21609F15-0D43-431D-BA19-21CDBACD3EEF}" uniqueName="7" name="Column7" queryTableFieldId="7" dataDxfId="123"/>
    <tableColumn id="8" xr3:uid="{6DC1B0EC-B958-4EE4-BEE0-249DD559A8F5}" uniqueName="8" name="Column8" queryTableFieldId="8" dataDxfId="122"/>
    <tableColumn id="13" xr3:uid="{C71EF292-9A6C-4DA6-9227-F8BFFC444773}" uniqueName="13" name="Column13" queryTableFieldId="13" dataDxfId="121"/>
    <tableColumn id="15" xr3:uid="{B2A89E01-1104-4931-B349-8B0777821B2D}" uniqueName="15" name="Column15" queryTableFieldId="15" dataDxfId="120"/>
    <tableColumn id="16" xr3:uid="{516170C8-E257-4FC5-A95D-E801928EF4F3}" uniqueName="16" name="Column16" queryTableFieldId="16" dataDxfId="119"/>
    <tableColumn id="17" xr3:uid="{7D381F32-ECB3-41B4-B74B-2D2B30061AB5}" uniqueName="17" name="Column17" queryTableFieldId="17" dataDxfId="118"/>
    <tableColumn id="18" xr3:uid="{C71999F5-1618-4570-B931-92AB61A4C337}" uniqueName="18" name="Column18" queryTableFieldId="18" dataDxfId="1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E4EF64-1ABF-4C16-A965-1435A264B6CD}" name="Defensive_Actions_2024_2025_Manchester_City__Premier_League_Table" displayName="Defensive_Actions_2024_2025_Manchester_City__Premier_League_Table" ref="A1:O31" tableType="queryTable" totalsRowShown="0">
  <autoFilter ref="A1:O31" xr:uid="{E8E4EF64-1ABF-4C16-A965-1435A264B6CD}"/>
  <tableColumns count="15">
    <tableColumn id="1" xr3:uid="{5F1BC757-E614-43D0-AD90-6A8A4DC9344F}" uniqueName="1" name="Column1" queryTableFieldId="1" dataDxfId="115"/>
    <tableColumn id="2" xr3:uid="{A6742071-1EAF-40A2-BA48-D79E0FAD2591}" uniqueName="2" name="Column2" queryTableFieldId="2" dataDxfId="114"/>
    <tableColumn id="3" xr3:uid="{C2D543E8-1E0F-42F5-A802-BE4B7387AB9C}" uniqueName="3" name="Column3" queryTableFieldId="3" dataDxfId="113"/>
    <tableColumn id="6" xr3:uid="{AC5F2602-22C8-445B-9533-A970407E6B1F}" uniqueName="6" name="Column6" queryTableFieldId="6" dataDxfId="112"/>
    <tableColumn id="7" xr3:uid="{909E2B1B-62BA-4F54-96EC-821EB636D450}" uniqueName="7" name="Column7" queryTableFieldId="7" dataDxfId="111"/>
    <tableColumn id="8" xr3:uid="{02B59A7A-1716-49C2-9EBB-D367B7AAB31A}" uniqueName="8" name="Column8" queryTableFieldId="8" dataDxfId="110"/>
    <tableColumn id="9" xr3:uid="{6E64075B-5C7E-4FF2-9CD2-6699B0C4A3AB}" uniqueName="9" name="Column9" queryTableFieldId="9" dataDxfId="109"/>
    <tableColumn id="11" xr3:uid="{10DF92DD-8C2D-440D-89C3-6BDB1D881CA2}" uniqueName="11" name="Column11" queryTableFieldId="11" dataDxfId="108"/>
    <tableColumn id="14" xr3:uid="{F1D8EDE4-38B4-405A-A65C-B3F915C48B88}" uniqueName="14" name="Column14" queryTableFieldId="14" dataDxfId="107"/>
    <tableColumn id="15" xr3:uid="{A8B2C6B5-8C0A-476A-BCC8-11F23BC35D87}" uniqueName="15" name="Column15" queryTableFieldId="15" dataDxfId="106"/>
    <tableColumn id="16" xr3:uid="{14BE106C-3636-44CF-850D-E2313F42A962}" uniqueName="16" name="Column16" queryTableFieldId="16" dataDxfId="105"/>
    <tableColumn id="17" xr3:uid="{98A6EDDB-4D2B-4ED2-B9A1-D5632FB9E8F5}" uniqueName="17" name="Column17" queryTableFieldId="17" dataDxfId="104"/>
    <tableColumn id="18" xr3:uid="{FE4D9872-00AB-4BEF-94F5-47E195162F97}" uniqueName="18" name="Column18" queryTableFieldId="18" dataDxfId="103"/>
    <tableColumn id="20" xr3:uid="{B0AE9713-4BB2-42E2-934D-B1424C02FD76}" uniqueName="20" name="Column20" queryTableFieldId="20" dataDxfId="102"/>
    <tableColumn id="21" xr3:uid="{6F72B823-49DC-4AD7-B6B7-FBB7489BFB61}" uniqueName="21" name="Column21" queryTableFieldId="21" dataDxfId="101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9A3DA4-C330-4D9A-803A-AFEA335C2A1F}" name="Defensive_Actions_2023_2024_Manchester_City__Premier_League_Table" displayName="Defensive_Actions_2023_2024_Manchester_City__Premier_League_Table" ref="A1:O30" tableType="queryTable" totalsRowShown="0">
  <autoFilter ref="A1:O30" xr:uid="{B59A3DA4-C330-4D9A-803A-AFEA335C2A1F}"/>
  <tableColumns count="15">
    <tableColumn id="1" xr3:uid="{20CC1E0A-D8C7-4467-BC46-060C7DA31B78}" uniqueName="1" name="Column1" queryTableFieldId="1" dataDxfId="100"/>
    <tableColumn id="2" xr3:uid="{F5E1728C-A08D-4266-90AF-BDB5DEB663DC}" uniqueName="2" name="Column2" queryTableFieldId="2" dataDxfId="99"/>
    <tableColumn id="3" xr3:uid="{53F7D32A-D8D3-4C32-8879-6CB5C8F56BF6}" uniqueName="3" name="Column3" queryTableFieldId="3" dataDxfId="98"/>
    <tableColumn id="6" xr3:uid="{5F79A8AE-B917-4629-9DF6-96F840256D36}" uniqueName="6" name="Column6" queryTableFieldId="6" dataDxfId="97"/>
    <tableColumn id="7" xr3:uid="{F1008ED0-9381-438F-87D5-16E7F5E0D34E}" uniqueName="7" name="Column7" queryTableFieldId="7" dataDxfId="96"/>
    <tableColumn id="8" xr3:uid="{3AE06B05-4F0E-45F7-B698-A47BF453F7FD}" uniqueName="8" name="Column8" queryTableFieldId="8" dataDxfId="95"/>
    <tableColumn id="9" xr3:uid="{0101227F-2171-49BC-A515-2ECD9501899A}" uniqueName="9" name="Column9" queryTableFieldId="9" dataDxfId="94"/>
    <tableColumn id="11" xr3:uid="{749B3C5E-4498-47F5-A25E-4A2080186ECB}" uniqueName="11" name="Column11" queryTableFieldId="11" dataDxfId="93"/>
    <tableColumn id="14" xr3:uid="{E3F92925-9308-485F-8167-5D82F651F51F}" uniqueName="14" name="Column14" queryTableFieldId="14" dataDxfId="92"/>
    <tableColumn id="15" xr3:uid="{1EF22CC6-9F16-4ED7-A6F4-ED21CD24B773}" uniqueName="15" name="Column15" queryTableFieldId="15" dataDxfId="91"/>
    <tableColumn id="16" xr3:uid="{6D5846B4-95B9-4D8F-8770-8E34B4A58F88}" uniqueName="16" name="Column16" queryTableFieldId="16" dataDxfId="90"/>
    <tableColumn id="17" xr3:uid="{5067F085-CAD9-4352-AA67-A20B5244E573}" uniqueName="17" name="Column17" queryTableFieldId="17" dataDxfId="89"/>
    <tableColumn id="18" xr3:uid="{2870C09F-70CF-4FD5-B608-0EAF8E2A6754}" uniqueName="18" name="Column18" queryTableFieldId="18" dataDxfId="88"/>
    <tableColumn id="20" xr3:uid="{C371BC61-7DF6-46CE-96E3-8CF21DE0677D}" uniqueName="20" name="Column20" queryTableFieldId="20" dataDxfId="87"/>
    <tableColumn id="21" xr3:uid="{10056B42-7A86-4E0E-A167-2B5DBB124343}" uniqueName="21" name="Column21" queryTableFieldId="21" dataDxfId="8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34841B2-78DF-49EE-A08B-464519979F91}" name="Advanced_Goalkeeping_2024_2025_Manchester_City__Premier_League_Table" displayName="Advanced_Goalkeeping_2024_2025_Manchester_City__Premier_League_Table" ref="A1:P7" tableType="queryTable" totalsRowShown="0">
  <autoFilter ref="A1:P7" xr:uid="{934841B2-78DF-49EE-A08B-464519979F91}"/>
  <tableColumns count="16">
    <tableColumn id="1" xr3:uid="{828A695E-D97E-42F3-B59C-D857C9CA0A0B}" uniqueName="1" name="Column1" queryTableFieldId="1" dataDxfId="84"/>
    <tableColumn id="2" xr3:uid="{C3AE0539-5626-407F-859A-A62C122B307E}" uniqueName="2" name="Column2" queryTableFieldId="2" dataDxfId="83"/>
    <tableColumn id="3" xr3:uid="{E31F18EA-E785-4388-9420-3DCF6F0E360E}" uniqueName="3" name="Column3" queryTableFieldId="3" dataDxfId="82"/>
    <tableColumn id="6" xr3:uid="{0121C9AC-57B2-4EB8-9751-6DD938DA54F9}" uniqueName="6" name="Column6" queryTableFieldId="6" dataDxfId="81"/>
    <tableColumn id="7" xr3:uid="{10D3B242-B2E2-4883-B15C-BF7A2C897CF6}" uniqueName="7" name="Column7" queryTableFieldId="7" dataDxfId="80"/>
    <tableColumn id="8" xr3:uid="{1E10BBA4-8199-45AD-B403-54F4714EEEB2}" uniqueName="8" name="Column8" queryTableFieldId="8" dataDxfId="79"/>
    <tableColumn id="9" xr3:uid="{6FCF247E-F9E4-4F34-BDF5-22D0832EAAAD}" uniqueName="9" name="Column9" queryTableFieldId="9" dataDxfId="78"/>
    <tableColumn id="10" xr3:uid="{57E00A8E-E622-4E0C-8000-9D9987C38B83}" uniqueName="10" name="Column10" queryTableFieldId="10" dataDxfId="77"/>
    <tableColumn id="5" xr3:uid="{5130475F-ACE4-4036-87BC-46BAD742E913}" uniqueName="5" name="Column102" queryTableFieldId="32"/>
    <tableColumn id="32" xr3:uid="{20191BA2-30FD-4B66-BDCB-9ADC0147D70B}" uniqueName="32" name="Column103" queryTableFieldId="33"/>
    <tableColumn id="11" xr3:uid="{AD38CE6E-4D87-4769-8C5D-C23A96E53447}" uniqueName="11" name="Column11" queryTableFieldId="11" dataDxfId="76"/>
    <tableColumn id="15" xr3:uid="{88C32501-499C-421B-A37B-B57E5676B26D}" uniqueName="15" name="Column15" queryTableFieldId="15" dataDxfId="75"/>
    <tableColumn id="17" xr3:uid="{F95E08CB-F165-4762-9D34-09F354A9C3D5}" uniqueName="17" name="Column17" queryTableFieldId="17" dataDxfId="74"/>
    <tableColumn id="25" xr3:uid="{9EC3C779-9EB5-410E-8266-AFD5FDD4971B}" uniqueName="25" name="Column25" queryTableFieldId="25" dataDxfId="73"/>
    <tableColumn id="26" xr3:uid="{C91550DB-B640-4E10-BA06-3A1F6E92A65A}" uniqueName="26" name="Column26" queryTableFieldId="26" dataDxfId="72"/>
    <tableColumn id="28" xr3:uid="{D4E70AAD-B299-4987-8D0E-3013A6DAAC68}" uniqueName="28" name="Column28" queryTableFieldId="28" dataDxfId="71"/>
  </tableColumns>
  <tableStyleInfo name="TableStyleLight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AF4C37-FF92-4377-863B-1B73E86B611D}" name="Advanced_Goalkeeping_2023_2024_Manchester_City__Premier_League_Table" displayName="Advanced_Goalkeeping_2023_2024_Manchester_City__Premier_League_Table" ref="A1:P7" tableType="queryTable" totalsRowShown="0">
  <autoFilter ref="A1:P7" xr:uid="{78AF4C37-FF92-4377-863B-1B73E86B611D}"/>
  <tableColumns count="16">
    <tableColumn id="1" xr3:uid="{42B27D43-6D0F-4C2E-B796-5617E7776E3C}" uniqueName="1" name="Column1" queryTableFieldId="1" dataDxfId="69"/>
    <tableColumn id="2" xr3:uid="{E6662A7B-F44E-4B38-A259-1A9180A2211D}" uniqueName="2" name="Column2" queryTableFieldId="2" dataDxfId="68"/>
    <tableColumn id="3" xr3:uid="{849B9642-5ECD-49B7-958D-4EFB10DB3AE2}" uniqueName="3" name="Column3" queryTableFieldId="3" dataDxfId="67"/>
    <tableColumn id="6" xr3:uid="{9A8D4026-1F43-4F7F-A1D1-D768024091DE}" uniqueName="6" name="Column6" queryTableFieldId="6" dataDxfId="66"/>
    <tableColumn id="7" xr3:uid="{14077B20-F90B-4061-B2DE-3F137C8D4744}" uniqueName="7" name="Column7" queryTableFieldId="7" dataDxfId="65"/>
    <tableColumn id="8" xr3:uid="{4F013781-8459-4CA6-87B4-F22F21C5AD47}" uniqueName="8" name="Column8" queryTableFieldId="8" dataDxfId="64"/>
    <tableColumn id="9" xr3:uid="{E7901F5D-E760-4FBA-893C-7F8F2432B11C}" uniqueName="9" name="Column9" queryTableFieldId="9" dataDxfId="63"/>
    <tableColumn id="10" xr3:uid="{69AA0719-7F5B-446A-85D9-A51ED872857F}" uniqueName="10" name="Column10" queryTableFieldId="10" dataDxfId="62"/>
    <tableColumn id="4" xr3:uid="{5161EAC9-6631-4B1E-9ED2-F93CE6F7CAFC}" uniqueName="4" name="Column102" queryTableFieldId="32"/>
    <tableColumn id="5" xr3:uid="{44A53CC8-4E6C-4B1E-ADB6-1A3B4FE3A2D5}" uniqueName="5" name="Column103" queryTableFieldId="33"/>
    <tableColumn id="11" xr3:uid="{2C9C0B94-C821-49BF-8BDD-2C5F9F6DF5D3}" uniqueName="11" name="Column11" queryTableFieldId="11" dataDxfId="61"/>
    <tableColumn id="15" xr3:uid="{B4F5D3BD-B93C-4BFD-9D03-0ABF080D993C}" uniqueName="15" name="Column15" queryTableFieldId="15" dataDxfId="60"/>
    <tableColumn id="17" xr3:uid="{642F17D7-3F82-4D13-B8C9-BA23440407A1}" uniqueName="17" name="Column17" queryTableFieldId="17" dataDxfId="59"/>
    <tableColumn id="25" xr3:uid="{6297F6D7-3F3E-4328-A4AF-600FC019E34C}" uniqueName="25" name="Column25" queryTableFieldId="25" dataDxfId="58"/>
    <tableColumn id="26" xr3:uid="{2EF96A8B-2735-426A-9B99-66F9985C65F6}" uniqueName="26" name="Column26" queryTableFieldId="26" dataDxfId="57"/>
    <tableColumn id="28" xr3:uid="{8BA96F94-FC36-4973-A02D-1E41D7C3C07C}" uniqueName="28" name="Column28" queryTableFieldId="28" dataDxfId="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E7A309-0A5A-4D09-B0B2-E9BE90EB6EE8}" name="Possession_2024_2025_Manchester_City__Premier_League_Table" displayName="Possession_2024_2025_Manchester_City__Premier_League_Table" ref="A1:AB31" tableType="queryTable" totalsRowShown="0">
  <autoFilter ref="A1:AB31" xr:uid="{A2E7A309-0A5A-4D09-B0B2-E9BE90EB6EE8}"/>
  <tableColumns count="28">
    <tableColumn id="1" xr3:uid="{D544F648-00F4-45D0-B3D7-7494AB4020C8}" uniqueName="1" name="Column1" queryTableFieldId="1" dataDxfId="55"/>
    <tableColumn id="2" xr3:uid="{81135A61-67E1-4ADB-B9E2-808D6C147398}" uniqueName="2" name="Column2" queryTableFieldId="2" dataDxfId="54"/>
    <tableColumn id="3" xr3:uid="{58340864-9B9D-42A7-8839-0FE183398E3E}" uniqueName="3" name="Column3" queryTableFieldId="3" dataDxfId="53"/>
    <tableColumn id="4" xr3:uid="{79D48F8E-1DC5-45E3-A60D-909FE2FD825B}" uniqueName="4" name="Column4" queryTableFieldId="4" dataDxfId="52"/>
    <tableColumn id="5" xr3:uid="{CAA7F5FB-0BF5-48B5-AA8D-A7AD8CA28BE7}" uniqueName="5" name="Column5" queryTableFieldId="5" dataDxfId="51"/>
    <tableColumn id="6" xr3:uid="{B5DA2ECE-87DA-4FBB-9CD5-30E1F2FC3E15}" uniqueName="6" name="Column6" queryTableFieldId="6" dataDxfId="50"/>
    <tableColumn id="7" xr3:uid="{38F3E730-726E-4992-898F-F30B722335D4}" uniqueName="7" name="Column7" queryTableFieldId="7" dataDxfId="49"/>
    <tableColumn id="8" xr3:uid="{1E1D2900-368B-4FDA-A6F1-7F6A409017D6}" uniqueName="8" name="Column8" queryTableFieldId="8" dataDxfId="48"/>
    <tableColumn id="9" xr3:uid="{A47B3F03-13CB-40B1-BC62-4F4748942AE9}" uniqueName="9" name="Column9" queryTableFieldId="9" dataDxfId="47"/>
    <tableColumn id="10" xr3:uid="{BDB6AEA2-7651-41F6-AD9A-DB0BA768C429}" uniqueName="10" name="Column10" queryTableFieldId="10" dataDxfId="46"/>
    <tableColumn id="11" xr3:uid="{1D1C54FF-E951-45DB-9021-E7F0816E8F65}" uniqueName="11" name="Column11" queryTableFieldId="11" dataDxfId="45"/>
    <tableColumn id="12" xr3:uid="{21F6A54B-E3DC-4F6F-A536-AF38C5662DA8}" uniqueName="12" name="Column12" queryTableFieldId="12" dataDxfId="44"/>
    <tableColumn id="13" xr3:uid="{63FCDEC6-2D2F-46D7-AE84-46DE261CA903}" uniqueName="13" name="Column13" queryTableFieldId="13" dataDxfId="43"/>
    <tableColumn id="14" xr3:uid="{DCDC7EF2-9094-4EC5-B5DC-904D6F858477}" uniqueName="14" name="Column14" queryTableFieldId="14" dataDxfId="42"/>
    <tableColumn id="15" xr3:uid="{2980FA1A-C031-4703-9784-48E9F964633B}" uniqueName="15" name="Column15" queryTableFieldId="15" dataDxfId="41"/>
    <tableColumn id="16" xr3:uid="{2EC77F9B-0E93-4698-B123-E13E05F1C899}" uniqueName="16" name="Column16" queryTableFieldId="16" dataDxfId="40"/>
    <tableColumn id="17" xr3:uid="{EADC25FA-F15A-4E58-A047-0AAE33F390C3}" uniqueName="17" name="Column17" queryTableFieldId="17" dataDxfId="39"/>
    <tableColumn id="18" xr3:uid="{174D5575-03F0-44DA-A03A-04412520F14F}" uniqueName="18" name="Column18" queryTableFieldId="18" dataDxfId="38"/>
    <tableColumn id="19" xr3:uid="{5EB09E2E-6727-4595-8EC1-BA1FF7466490}" uniqueName="19" name="Column19" queryTableFieldId="19" dataDxfId="37"/>
    <tableColumn id="20" xr3:uid="{092D87BF-99A4-470C-A004-C088D3CC3567}" uniqueName="20" name="Column20" queryTableFieldId="20" dataDxfId="36"/>
    <tableColumn id="21" xr3:uid="{BB44D465-7141-4429-99ED-FA7138556788}" uniqueName="21" name="Column21" queryTableFieldId="21" dataDxfId="35"/>
    <tableColumn id="22" xr3:uid="{52B5124C-E230-42D3-8B29-B3C0B92D70A9}" uniqueName="22" name="Column22" queryTableFieldId="22" dataDxfId="34"/>
    <tableColumn id="23" xr3:uid="{7401FDB9-84FA-4EAF-BFD6-624298AEEF51}" uniqueName="23" name="Column23" queryTableFieldId="23" dataDxfId="33"/>
    <tableColumn id="24" xr3:uid="{AB66A3E0-D0D6-4F71-BFF2-F61380BC9EC8}" uniqueName="24" name="Column24" queryTableFieldId="24" dataDxfId="32"/>
    <tableColumn id="25" xr3:uid="{AAE94249-FC2B-4BD4-A8A5-C0320D4704CC}" uniqueName="25" name="Column25" queryTableFieldId="25" dataDxfId="31"/>
    <tableColumn id="26" xr3:uid="{A82F8690-76F8-45E0-A2C9-BD3FCC9C8C3D}" uniqueName="26" name="Column26" queryTableFieldId="26" dataDxfId="30"/>
    <tableColumn id="27" xr3:uid="{90F51D1C-2971-4B2A-865A-AE2799EEC08C}" uniqueName="27" name="Column27" queryTableFieldId="27" dataDxfId="29"/>
    <tableColumn id="28" xr3:uid="{1B671B8F-03BE-4018-A4D7-A0C7A421CF5D}" uniqueName="28" name="Column28" queryTableFieldId="28" dataDxfId="28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3C05B1-A152-4A30-8130-DCE04302E8E4}" name="Possession_2023_2024_Manchester_City__Premier_League_Table" displayName="Possession_2023_2024_Manchester_City__Premier_League_Table" ref="A1:AB30" tableType="queryTable" totalsRowShown="0">
  <autoFilter ref="A1:AB30" xr:uid="{483C05B1-A152-4A30-8130-DCE04302E8E4}"/>
  <tableColumns count="28">
    <tableColumn id="1" xr3:uid="{2D5E919C-AA8C-4253-B2D0-A13787DE84B1}" uniqueName="1" name="Column1" queryTableFieldId="1" dataDxfId="27"/>
    <tableColumn id="2" xr3:uid="{9CA70F3A-5E09-489E-9BC7-8A0C2C28E55E}" uniqueName="2" name="Column2" queryTableFieldId="2" dataDxfId="26"/>
    <tableColumn id="3" xr3:uid="{8112DB43-7E22-46C5-ABC5-43CDA310A371}" uniqueName="3" name="Column3" queryTableFieldId="3" dataDxfId="25"/>
    <tableColumn id="4" xr3:uid="{65F76ACE-0EEF-48E3-937D-352C255C87CB}" uniqueName="4" name="Column4" queryTableFieldId="4" dataDxfId="24"/>
    <tableColumn id="5" xr3:uid="{08C8D402-C1C2-4F67-9160-0060AE269A83}" uniqueName="5" name="Column5" queryTableFieldId="5" dataDxfId="23"/>
    <tableColumn id="6" xr3:uid="{E82317A0-4989-478B-AB44-469838E1EBFE}" uniqueName="6" name="Column6" queryTableFieldId="6" dataDxfId="22"/>
    <tableColumn id="7" xr3:uid="{22E530AD-2162-46D9-B0CF-DAAA06A366CA}" uniqueName="7" name="Column7" queryTableFieldId="7" dataDxfId="21"/>
    <tableColumn id="8" xr3:uid="{6F5BA9C8-C466-46F6-AAE4-81720C3B6CD7}" uniqueName="8" name="Column8" queryTableFieldId="8" dataDxfId="20"/>
    <tableColumn id="9" xr3:uid="{8AAEE3D2-5940-44A4-BEAC-3AE5FD88C5BE}" uniqueName="9" name="Column9" queryTableFieldId="9" dataDxfId="19"/>
    <tableColumn id="10" xr3:uid="{CB48711E-7AD9-4AF2-8E94-29723FBE1707}" uniqueName="10" name="Column10" queryTableFieldId="10" dataDxfId="18"/>
    <tableColumn id="11" xr3:uid="{296C0624-3894-4998-9D89-F8ABEF2C96A5}" uniqueName="11" name="Column11" queryTableFieldId="11" dataDxfId="17"/>
    <tableColumn id="12" xr3:uid="{66041BAB-7CD2-49B8-A659-46DE94FFA087}" uniqueName="12" name="Column12" queryTableFieldId="12" dataDxfId="16"/>
    <tableColumn id="13" xr3:uid="{D0335DA7-A0A4-4381-B0F2-743C6A6F3060}" uniqueName="13" name="Column13" queryTableFieldId="13" dataDxfId="15"/>
    <tableColumn id="14" xr3:uid="{0BA99C2B-855F-4904-8D8E-9E807E8CE35A}" uniqueName="14" name="Column14" queryTableFieldId="14" dataDxfId="14"/>
    <tableColumn id="15" xr3:uid="{0F8AA201-5BA4-4D5D-B624-180E75642054}" uniqueName="15" name="Column15" queryTableFieldId="15" dataDxfId="13"/>
    <tableColumn id="16" xr3:uid="{AA3ED619-BF44-47F9-BC22-E8552D8B1668}" uniqueName="16" name="Column16" queryTableFieldId="16" dataDxfId="12"/>
    <tableColumn id="17" xr3:uid="{EA50F1CE-2FCF-466D-845F-6F8C729E75B3}" uniqueName="17" name="Column17" queryTableFieldId="17" dataDxfId="11"/>
    <tableColumn id="18" xr3:uid="{613BFF6C-3F3E-4EA3-B0BB-D3ED834BC593}" uniqueName="18" name="Column18" queryTableFieldId="18" dataDxfId="10"/>
    <tableColumn id="19" xr3:uid="{A126DDC0-5ABA-4FA6-AD3B-5B4F534F9563}" uniqueName="19" name="Column19" queryTableFieldId="19" dataDxfId="9"/>
    <tableColumn id="20" xr3:uid="{948F1900-D220-40E9-BDD4-15C6C2FF6F33}" uniqueName="20" name="Column20" queryTableFieldId="20" dataDxfId="8"/>
    <tableColumn id="21" xr3:uid="{E40DC14D-9751-4A43-A649-577583D8A63A}" uniqueName="21" name="Column21" queryTableFieldId="21" dataDxfId="7"/>
    <tableColumn id="22" xr3:uid="{EE741460-F4D4-45FD-9A83-916833B4960E}" uniqueName="22" name="Column22" queryTableFieldId="22" dataDxfId="6"/>
    <tableColumn id="23" xr3:uid="{1DD2DEC2-2BEC-48F4-8CD9-9084E1B331D3}" uniqueName="23" name="Column23" queryTableFieldId="23" dataDxfId="5"/>
    <tableColumn id="24" xr3:uid="{9AFB6D4B-E03F-4543-AAA7-737C16706ACA}" uniqueName="24" name="Column24" queryTableFieldId="24" dataDxfId="4"/>
    <tableColumn id="25" xr3:uid="{CB08EE20-84F6-4425-AA6B-2FEFEFC6866A}" uniqueName="25" name="Column25" queryTableFieldId="25" dataDxfId="3"/>
    <tableColumn id="26" xr3:uid="{44415A18-8E9F-4EE2-879F-DC2E8907F1B2}" uniqueName="26" name="Column26" queryTableFieldId="26" dataDxfId="2"/>
    <tableColumn id="27" xr3:uid="{EC7BD636-2951-461F-B709-87242F5E15C3}" uniqueName="27" name="Column27" queryTableFieldId="27" dataDxfId="1"/>
    <tableColumn id="28" xr3:uid="{46C93FAB-ED04-4724-B12B-8F3AFD4C0AA8}" uniqueName="28" name="Column28" queryTableFieldId="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7579-65DE-4548-AD22-DF6C81DCB39D}">
  <dimension ref="A1:AB38"/>
  <sheetViews>
    <sheetView workbookViewId="0">
      <selection activeCell="M3" sqref="M3"/>
    </sheetView>
  </sheetViews>
  <sheetFormatPr defaultRowHeight="15" x14ac:dyDescent="0.25"/>
  <cols>
    <col min="1" max="1" width="20.7109375" customWidth="1"/>
    <col min="2" max="4" width="7.7109375" customWidth="1"/>
    <col min="5" max="5" width="8.42578125" customWidth="1"/>
    <col min="6" max="6" width="7.7109375" style="3" customWidth="1"/>
    <col min="7" max="8" width="12.140625" bestFit="1" customWidth="1"/>
    <col min="9" max="9" width="12.28515625" bestFit="1" customWidth="1"/>
    <col min="10" max="21" width="12.42578125" bestFit="1" customWidth="1"/>
    <col min="22" max="22" width="15.7109375" customWidth="1"/>
    <col min="23" max="28" width="13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28</v>
      </c>
      <c r="AB1" t="s">
        <v>29</v>
      </c>
    </row>
    <row r="2" spans="1:28" x14ac:dyDescent="0.25">
      <c r="A2" s="1" t="s">
        <v>901</v>
      </c>
      <c r="B2" t="s">
        <v>30</v>
      </c>
      <c r="C2" t="s">
        <v>30</v>
      </c>
      <c r="D2" t="s">
        <v>30</v>
      </c>
      <c r="E2" t="s">
        <v>30</v>
      </c>
      <c r="F2" s="4" t="s">
        <v>31</v>
      </c>
      <c r="G2" s="2" t="s">
        <v>31</v>
      </c>
      <c r="H2" s="2" t="s">
        <v>31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33</v>
      </c>
      <c r="R2" s="2" t="s">
        <v>33</v>
      </c>
      <c r="S2" s="2" t="s">
        <v>33</v>
      </c>
      <c r="T2" s="2" t="s">
        <v>34</v>
      </c>
      <c r="U2" s="2" t="s">
        <v>34</v>
      </c>
      <c r="V2" s="2" t="s">
        <v>34</v>
      </c>
      <c r="W2" s="2" t="s">
        <v>35</v>
      </c>
      <c r="X2" s="2" t="s">
        <v>35</v>
      </c>
      <c r="Y2" s="2" t="s">
        <v>35</v>
      </c>
      <c r="Z2" s="2" t="s">
        <v>35</v>
      </c>
      <c r="AA2" s="2" t="s">
        <v>35</v>
      </c>
      <c r="AB2" s="2" t="s">
        <v>35</v>
      </c>
    </row>
    <row r="3" spans="1:28" x14ac:dyDescent="0.25">
      <c r="A3" t="s">
        <v>36</v>
      </c>
      <c r="B3" t="s">
        <v>37</v>
      </c>
      <c r="C3" t="s">
        <v>38</v>
      </c>
      <c r="D3" t="s">
        <v>39</v>
      </c>
      <c r="E3" t="s">
        <v>49</v>
      </c>
      <c r="F3" s="5" t="s">
        <v>40</v>
      </c>
      <c r="G3" t="s">
        <v>41</v>
      </c>
      <c r="H3" t="s">
        <v>42</v>
      </c>
      <c r="I3" t="s">
        <v>563</v>
      </c>
      <c r="J3" t="s">
        <v>923</v>
      </c>
      <c r="K3" t="s">
        <v>43</v>
      </c>
      <c r="L3" t="s">
        <v>921</v>
      </c>
      <c r="M3" t="s">
        <v>44</v>
      </c>
      <c r="N3" t="s">
        <v>915</v>
      </c>
      <c r="O3" t="s">
        <v>916</v>
      </c>
      <c r="P3" t="s">
        <v>917</v>
      </c>
      <c r="Q3" s="6" t="s">
        <v>45</v>
      </c>
      <c r="R3" t="s">
        <v>922</v>
      </c>
      <c r="S3" t="s">
        <v>46</v>
      </c>
      <c r="T3" t="s">
        <v>918</v>
      </c>
      <c r="U3" t="s">
        <v>919</v>
      </c>
      <c r="V3" t="s">
        <v>920</v>
      </c>
      <c r="W3" t="s">
        <v>563</v>
      </c>
      <c r="X3" t="s">
        <v>924</v>
      </c>
      <c r="Y3" t="s">
        <v>43</v>
      </c>
      <c r="Z3" t="s">
        <v>921</v>
      </c>
      <c r="AA3" t="s">
        <v>45</v>
      </c>
      <c r="AB3" t="s">
        <v>46</v>
      </c>
    </row>
    <row r="4" spans="1:28" x14ac:dyDescent="0.25">
      <c r="A4" t="s">
        <v>50</v>
      </c>
      <c r="B4" t="s">
        <v>902</v>
      </c>
      <c r="C4" t="s">
        <v>52</v>
      </c>
      <c r="D4">
        <v>24</v>
      </c>
      <c r="E4">
        <v>24</v>
      </c>
      <c r="F4" s="3">
        <v>24</v>
      </c>
      <c r="G4">
        <v>2.1240000000000001</v>
      </c>
      <c r="H4" t="s">
        <v>54</v>
      </c>
      <c r="I4">
        <v>19</v>
      </c>
      <c r="J4">
        <v>2</v>
      </c>
      <c r="K4">
        <v>21</v>
      </c>
      <c r="L4">
        <v>18</v>
      </c>
      <c r="M4">
        <v>1</v>
      </c>
      <c r="N4">
        <v>2</v>
      </c>
      <c r="O4">
        <v>2</v>
      </c>
      <c r="P4">
        <v>0</v>
      </c>
      <c r="Q4" s="8" t="s">
        <v>61</v>
      </c>
      <c r="R4" s="8" t="s">
        <v>62</v>
      </c>
      <c r="S4" s="8" t="s">
        <v>63</v>
      </c>
      <c r="T4">
        <v>16</v>
      </c>
      <c r="U4">
        <v>15</v>
      </c>
      <c r="V4">
        <v>95</v>
      </c>
      <c r="W4" s="7" t="s">
        <v>67</v>
      </c>
      <c r="X4" t="s">
        <v>68</v>
      </c>
      <c r="Y4" t="s">
        <v>69</v>
      </c>
      <c r="Z4" t="s">
        <v>70</v>
      </c>
      <c r="AA4" t="s">
        <v>72</v>
      </c>
      <c r="AB4" t="s">
        <v>73</v>
      </c>
    </row>
    <row r="5" spans="1:28" x14ac:dyDescent="0.25">
      <c r="A5" t="s">
        <v>75</v>
      </c>
      <c r="B5" t="s">
        <v>903</v>
      </c>
      <c r="C5" t="s">
        <v>77</v>
      </c>
      <c r="D5">
        <v>23</v>
      </c>
      <c r="E5">
        <v>23</v>
      </c>
      <c r="F5" s="3">
        <v>22</v>
      </c>
      <c r="G5">
        <v>2.0219999999999998</v>
      </c>
      <c r="H5" t="s">
        <v>80</v>
      </c>
      <c r="I5">
        <v>5</v>
      </c>
      <c r="J5">
        <v>0</v>
      </c>
      <c r="K5">
        <v>5</v>
      </c>
      <c r="L5">
        <v>5</v>
      </c>
      <c r="M5">
        <v>0</v>
      </c>
      <c r="N5">
        <v>0</v>
      </c>
      <c r="O5">
        <v>1</v>
      </c>
      <c r="P5">
        <v>0</v>
      </c>
      <c r="Q5" s="8" t="s">
        <v>82</v>
      </c>
      <c r="R5" s="8" t="s">
        <v>83</v>
      </c>
      <c r="S5" s="8" t="s">
        <v>84</v>
      </c>
      <c r="T5">
        <v>56</v>
      </c>
      <c r="U5">
        <v>163</v>
      </c>
      <c r="V5">
        <v>79</v>
      </c>
      <c r="W5" t="s">
        <v>88</v>
      </c>
      <c r="X5" t="s">
        <v>89</v>
      </c>
      <c r="Y5" t="s">
        <v>88</v>
      </c>
      <c r="Z5" t="s">
        <v>88</v>
      </c>
      <c r="AA5" t="s">
        <v>90</v>
      </c>
      <c r="AB5" t="s">
        <v>91</v>
      </c>
    </row>
    <row r="6" spans="1:28" x14ac:dyDescent="0.25">
      <c r="A6" t="s">
        <v>95</v>
      </c>
      <c r="B6" t="s">
        <v>904</v>
      </c>
      <c r="C6" t="s">
        <v>97</v>
      </c>
      <c r="D6">
        <v>30</v>
      </c>
      <c r="E6">
        <v>23</v>
      </c>
      <c r="F6" s="3">
        <v>21</v>
      </c>
      <c r="G6">
        <v>1.9159999999999999</v>
      </c>
      <c r="H6" t="s">
        <v>98</v>
      </c>
      <c r="I6">
        <v>2</v>
      </c>
      <c r="J6">
        <v>4</v>
      </c>
      <c r="K6">
        <v>6</v>
      </c>
      <c r="L6">
        <v>2</v>
      </c>
      <c r="M6">
        <v>0</v>
      </c>
      <c r="N6">
        <v>0</v>
      </c>
      <c r="O6">
        <v>5</v>
      </c>
      <c r="P6">
        <v>0</v>
      </c>
      <c r="Q6" s="8" t="s">
        <v>101</v>
      </c>
      <c r="R6" s="8" t="s">
        <v>101</v>
      </c>
      <c r="S6" s="8" t="s">
        <v>102</v>
      </c>
      <c r="T6">
        <v>77</v>
      </c>
      <c r="U6">
        <v>89</v>
      </c>
      <c r="V6">
        <v>156</v>
      </c>
      <c r="W6" t="s">
        <v>73</v>
      </c>
      <c r="X6" t="s">
        <v>90</v>
      </c>
      <c r="Y6" t="s">
        <v>107</v>
      </c>
      <c r="Z6" t="s">
        <v>73</v>
      </c>
      <c r="AA6" t="s">
        <v>108</v>
      </c>
      <c r="AB6" t="s">
        <v>90</v>
      </c>
    </row>
    <row r="7" spans="1:28" x14ac:dyDescent="0.25">
      <c r="A7" t="s">
        <v>110</v>
      </c>
      <c r="B7" t="s">
        <v>905</v>
      </c>
      <c r="C7" t="s">
        <v>77</v>
      </c>
      <c r="D7">
        <v>29</v>
      </c>
      <c r="E7">
        <v>20</v>
      </c>
      <c r="F7" s="3">
        <v>20</v>
      </c>
      <c r="G7">
        <v>1.7070000000000001</v>
      </c>
      <c r="H7" t="s">
        <v>113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</v>
      </c>
      <c r="P7">
        <v>0</v>
      </c>
      <c r="Q7" s="8" t="s">
        <v>115</v>
      </c>
      <c r="R7" s="8" t="s">
        <v>115</v>
      </c>
      <c r="S7" s="8" t="s">
        <v>116</v>
      </c>
      <c r="T7">
        <v>38</v>
      </c>
      <c r="U7">
        <v>135</v>
      </c>
      <c r="V7">
        <v>6</v>
      </c>
      <c r="W7" t="s">
        <v>89</v>
      </c>
      <c r="X7" t="s">
        <v>89</v>
      </c>
      <c r="Y7" t="s">
        <v>89</v>
      </c>
      <c r="Z7" t="s">
        <v>89</v>
      </c>
      <c r="AA7" t="s">
        <v>119</v>
      </c>
      <c r="AB7" t="s">
        <v>120</v>
      </c>
    </row>
    <row r="8" spans="1:28" x14ac:dyDescent="0.25">
      <c r="A8" t="s">
        <v>122</v>
      </c>
      <c r="B8" t="s">
        <v>903</v>
      </c>
      <c r="C8" t="s">
        <v>123</v>
      </c>
      <c r="D8">
        <v>30</v>
      </c>
      <c r="E8">
        <v>20</v>
      </c>
      <c r="F8" s="3">
        <v>18</v>
      </c>
      <c r="G8">
        <v>1.5449999999999999</v>
      </c>
      <c r="H8" t="s">
        <v>124</v>
      </c>
      <c r="I8">
        <v>4</v>
      </c>
      <c r="J8">
        <v>1</v>
      </c>
      <c r="K8">
        <v>5</v>
      </c>
      <c r="L8">
        <v>4</v>
      </c>
      <c r="M8">
        <v>0</v>
      </c>
      <c r="N8">
        <v>0</v>
      </c>
      <c r="O8">
        <v>5</v>
      </c>
      <c r="P8">
        <v>0</v>
      </c>
      <c r="Q8" s="8" t="s">
        <v>125</v>
      </c>
      <c r="R8" s="8" t="s">
        <v>125</v>
      </c>
      <c r="S8" s="8" t="s">
        <v>126</v>
      </c>
      <c r="T8">
        <v>43</v>
      </c>
      <c r="U8">
        <v>109</v>
      </c>
      <c r="V8">
        <v>14</v>
      </c>
      <c r="W8" t="s">
        <v>130</v>
      </c>
      <c r="X8" t="s">
        <v>121</v>
      </c>
      <c r="Y8" t="s">
        <v>131</v>
      </c>
      <c r="Z8" t="s">
        <v>130</v>
      </c>
      <c r="AA8" t="s">
        <v>68</v>
      </c>
      <c r="AB8" t="s">
        <v>132</v>
      </c>
    </row>
    <row r="9" spans="1:28" x14ac:dyDescent="0.25">
      <c r="A9" t="s">
        <v>133</v>
      </c>
      <c r="B9" t="s">
        <v>906</v>
      </c>
      <c r="C9" t="s">
        <v>135</v>
      </c>
      <c r="D9">
        <v>20</v>
      </c>
      <c r="E9">
        <v>19</v>
      </c>
      <c r="F9" s="3">
        <v>16</v>
      </c>
      <c r="G9">
        <v>1.4019999999999999</v>
      </c>
      <c r="H9" t="s">
        <v>136</v>
      </c>
      <c r="I9">
        <v>1</v>
      </c>
      <c r="J9">
        <v>2</v>
      </c>
      <c r="K9">
        <v>3</v>
      </c>
      <c r="L9">
        <v>1</v>
      </c>
      <c r="M9">
        <v>0</v>
      </c>
      <c r="N9">
        <v>0</v>
      </c>
      <c r="O9">
        <v>5</v>
      </c>
      <c r="P9">
        <v>1</v>
      </c>
      <c r="Q9" s="8" t="s">
        <v>137</v>
      </c>
      <c r="R9" s="8" t="s">
        <v>137</v>
      </c>
      <c r="S9" s="8" t="s">
        <v>138</v>
      </c>
      <c r="T9">
        <v>32</v>
      </c>
      <c r="U9">
        <v>80</v>
      </c>
      <c r="V9">
        <v>57</v>
      </c>
      <c r="W9" t="s">
        <v>121</v>
      </c>
      <c r="X9" t="s">
        <v>108</v>
      </c>
      <c r="Y9" t="s">
        <v>90</v>
      </c>
      <c r="Z9" t="s">
        <v>121</v>
      </c>
      <c r="AA9" t="s">
        <v>91</v>
      </c>
      <c r="AB9" t="s">
        <v>120</v>
      </c>
    </row>
    <row r="10" spans="1:28" x14ac:dyDescent="0.25">
      <c r="A10" t="s">
        <v>142</v>
      </c>
      <c r="B10" t="s">
        <v>906</v>
      </c>
      <c r="C10" t="s">
        <v>97</v>
      </c>
      <c r="D10">
        <v>24</v>
      </c>
      <c r="E10">
        <v>19</v>
      </c>
      <c r="F10" s="3">
        <v>15</v>
      </c>
      <c r="G10">
        <v>1.3640000000000001</v>
      </c>
      <c r="H10" t="s">
        <v>143</v>
      </c>
      <c r="I10">
        <v>7</v>
      </c>
      <c r="J10">
        <v>2</v>
      </c>
      <c r="K10">
        <v>9</v>
      </c>
      <c r="L10">
        <v>7</v>
      </c>
      <c r="M10">
        <v>0</v>
      </c>
      <c r="N10">
        <v>0</v>
      </c>
      <c r="O10">
        <v>2</v>
      </c>
      <c r="P10">
        <v>0</v>
      </c>
      <c r="Q10" s="8" t="s">
        <v>146</v>
      </c>
      <c r="R10" s="8" t="s">
        <v>146</v>
      </c>
      <c r="S10" s="8" t="s">
        <v>147</v>
      </c>
      <c r="T10">
        <v>37</v>
      </c>
      <c r="U10">
        <v>81</v>
      </c>
      <c r="V10">
        <v>98</v>
      </c>
      <c r="W10" t="s">
        <v>150</v>
      </c>
      <c r="X10" t="s">
        <v>108</v>
      </c>
      <c r="Y10" t="s">
        <v>151</v>
      </c>
      <c r="Z10" t="s">
        <v>150</v>
      </c>
      <c r="AA10" t="s">
        <v>152</v>
      </c>
      <c r="AB10" t="s">
        <v>153</v>
      </c>
    </row>
    <row r="11" spans="1:28" x14ac:dyDescent="0.25">
      <c r="A11" t="s">
        <v>154</v>
      </c>
      <c r="B11" t="s">
        <v>907</v>
      </c>
      <c r="C11" t="s">
        <v>156</v>
      </c>
      <c r="D11">
        <v>31</v>
      </c>
      <c r="E11">
        <v>15</v>
      </c>
      <c r="F11" s="3">
        <v>15</v>
      </c>
      <c r="G11">
        <v>1.35</v>
      </c>
      <c r="H11" t="s">
        <v>157</v>
      </c>
      <c r="I11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3</v>
      </c>
      <c r="P11">
        <v>0</v>
      </c>
      <c r="Q11" s="8" t="s">
        <v>158</v>
      </c>
      <c r="R11" s="8" t="s">
        <v>158</v>
      </c>
      <c r="S11" s="8" t="s">
        <v>159</v>
      </c>
      <c r="T11">
        <v>0</v>
      </c>
      <c r="U11">
        <v>1</v>
      </c>
      <c r="V11">
        <v>0</v>
      </c>
      <c r="W11" t="s">
        <v>89</v>
      </c>
      <c r="X11" t="s">
        <v>108</v>
      </c>
      <c r="Y11" t="s">
        <v>108</v>
      </c>
      <c r="Z11" t="s">
        <v>89</v>
      </c>
      <c r="AA11" t="s">
        <v>89</v>
      </c>
      <c r="AB11" t="s">
        <v>160</v>
      </c>
    </row>
    <row r="12" spans="1:28" x14ac:dyDescent="0.25">
      <c r="A12" t="s">
        <v>161</v>
      </c>
      <c r="B12" t="s">
        <v>908</v>
      </c>
      <c r="C12" t="s">
        <v>123</v>
      </c>
      <c r="D12">
        <v>34</v>
      </c>
      <c r="E12">
        <v>21</v>
      </c>
      <c r="F12" s="3">
        <v>15</v>
      </c>
      <c r="G12">
        <v>1.3440000000000001</v>
      </c>
      <c r="H12" t="s">
        <v>163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 s="8" t="s">
        <v>164</v>
      </c>
      <c r="R12" s="8" t="s">
        <v>164</v>
      </c>
      <c r="S12" s="8" t="s">
        <v>165</v>
      </c>
      <c r="T12">
        <v>37</v>
      </c>
      <c r="U12">
        <v>87</v>
      </c>
      <c r="V12">
        <v>59</v>
      </c>
      <c r="W12" t="s">
        <v>89</v>
      </c>
      <c r="X12" t="s">
        <v>91</v>
      </c>
      <c r="Y12" t="s">
        <v>91</v>
      </c>
      <c r="Z12" t="s">
        <v>89</v>
      </c>
      <c r="AA12" t="s">
        <v>168</v>
      </c>
      <c r="AB12" t="s">
        <v>108</v>
      </c>
    </row>
    <row r="13" spans="1:28" x14ac:dyDescent="0.25">
      <c r="A13" t="s">
        <v>169</v>
      </c>
      <c r="B13" t="s">
        <v>907</v>
      </c>
      <c r="C13" t="s">
        <v>170</v>
      </c>
      <c r="D13">
        <v>20</v>
      </c>
      <c r="E13">
        <v>19</v>
      </c>
      <c r="F13" s="3">
        <v>14</v>
      </c>
      <c r="G13">
        <v>1.17</v>
      </c>
      <c r="H13" t="s">
        <v>171</v>
      </c>
      <c r="I13">
        <v>1</v>
      </c>
      <c r="J13">
        <v>6</v>
      </c>
      <c r="K13">
        <v>7</v>
      </c>
      <c r="L13">
        <v>1</v>
      </c>
      <c r="M13">
        <v>0</v>
      </c>
      <c r="N13">
        <v>0</v>
      </c>
      <c r="O13">
        <v>2</v>
      </c>
      <c r="P13">
        <v>0</v>
      </c>
      <c r="Q13" s="8" t="s">
        <v>172</v>
      </c>
      <c r="R13" s="8" t="s">
        <v>172</v>
      </c>
      <c r="S13" s="8" t="s">
        <v>173</v>
      </c>
      <c r="T13">
        <v>94</v>
      </c>
      <c r="U13">
        <v>52</v>
      </c>
      <c r="V13">
        <v>153</v>
      </c>
      <c r="W13" t="s">
        <v>68</v>
      </c>
      <c r="X13" t="s">
        <v>150</v>
      </c>
      <c r="Y13" t="s">
        <v>177</v>
      </c>
      <c r="Z13" t="s">
        <v>68</v>
      </c>
      <c r="AA13" t="s">
        <v>94</v>
      </c>
      <c r="AB13" t="s">
        <v>178</v>
      </c>
    </row>
    <row r="14" spans="1:28" x14ac:dyDescent="0.25">
      <c r="A14" t="s">
        <v>179</v>
      </c>
      <c r="B14" t="s">
        <v>904</v>
      </c>
      <c r="C14" t="s">
        <v>77</v>
      </c>
      <c r="D14">
        <v>27</v>
      </c>
      <c r="E14">
        <v>14</v>
      </c>
      <c r="F14" s="3">
        <v>13</v>
      </c>
      <c r="G14">
        <v>1.177</v>
      </c>
      <c r="H14" t="s">
        <v>181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</v>
      </c>
      <c r="P14">
        <v>0</v>
      </c>
      <c r="Q14" s="8" t="s">
        <v>117</v>
      </c>
      <c r="R14" s="8" t="s">
        <v>117</v>
      </c>
      <c r="S14" s="8" t="s">
        <v>138</v>
      </c>
      <c r="T14">
        <v>19</v>
      </c>
      <c r="U14">
        <v>78</v>
      </c>
      <c r="V14">
        <v>5</v>
      </c>
      <c r="W14" t="s">
        <v>89</v>
      </c>
      <c r="X14" t="s">
        <v>89</v>
      </c>
      <c r="Y14" t="s">
        <v>89</v>
      </c>
      <c r="Z14" t="s">
        <v>89</v>
      </c>
      <c r="AA14" t="s">
        <v>68</v>
      </c>
      <c r="AB14" t="s">
        <v>120</v>
      </c>
    </row>
    <row r="15" spans="1:28" x14ac:dyDescent="0.25">
      <c r="A15" t="s">
        <v>183</v>
      </c>
      <c r="B15" t="s">
        <v>909</v>
      </c>
      <c r="C15" t="s">
        <v>123</v>
      </c>
      <c r="D15">
        <v>33</v>
      </c>
      <c r="E15">
        <v>17</v>
      </c>
      <c r="F15" s="3">
        <v>11</v>
      </c>
      <c r="G15">
        <v>1.0109999999999999</v>
      </c>
      <c r="H15" t="s">
        <v>187</v>
      </c>
      <c r="I15">
        <v>2</v>
      </c>
      <c r="J15">
        <v>6</v>
      </c>
      <c r="K15">
        <v>8</v>
      </c>
      <c r="L15">
        <v>2</v>
      </c>
      <c r="M15">
        <v>0</v>
      </c>
      <c r="N15">
        <v>0</v>
      </c>
      <c r="O15">
        <v>2</v>
      </c>
      <c r="P15">
        <v>0</v>
      </c>
      <c r="Q15" s="8" t="s">
        <v>189</v>
      </c>
      <c r="R15" s="8" t="s">
        <v>189</v>
      </c>
      <c r="S15" s="8" t="s">
        <v>190</v>
      </c>
      <c r="T15">
        <v>35</v>
      </c>
      <c r="U15">
        <v>106</v>
      </c>
      <c r="V15">
        <v>99</v>
      </c>
      <c r="W15" t="s">
        <v>193</v>
      </c>
      <c r="X15" t="s">
        <v>194</v>
      </c>
      <c r="Y15" t="s">
        <v>195</v>
      </c>
      <c r="Z15" t="s">
        <v>193</v>
      </c>
      <c r="AA15" t="s">
        <v>88</v>
      </c>
      <c r="AB15" t="s">
        <v>177</v>
      </c>
    </row>
    <row r="16" spans="1:28" x14ac:dyDescent="0.25">
      <c r="A16" t="s">
        <v>196</v>
      </c>
      <c r="B16" t="s">
        <v>904</v>
      </c>
      <c r="C16" t="s">
        <v>135</v>
      </c>
      <c r="D16">
        <v>26</v>
      </c>
      <c r="E16">
        <v>16</v>
      </c>
      <c r="F16" s="3">
        <v>10</v>
      </c>
      <c r="G16">
        <v>890</v>
      </c>
      <c r="H16" t="s">
        <v>198</v>
      </c>
      <c r="I16">
        <v>0</v>
      </c>
      <c r="J16">
        <v>4</v>
      </c>
      <c r="K16">
        <v>4</v>
      </c>
      <c r="L16">
        <v>0</v>
      </c>
      <c r="M16">
        <v>0</v>
      </c>
      <c r="N16">
        <v>0</v>
      </c>
      <c r="O16">
        <v>2</v>
      </c>
      <c r="P16">
        <v>0</v>
      </c>
      <c r="Q16" s="8" t="s">
        <v>159</v>
      </c>
      <c r="R16" s="8" t="s">
        <v>159</v>
      </c>
      <c r="S16" s="8" t="s">
        <v>101</v>
      </c>
      <c r="T16">
        <v>39</v>
      </c>
      <c r="U16">
        <v>34</v>
      </c>
      <c r="V16">
        <v>121</v>
      </c>
      <c r="W16" t="s">
        <v>89</v>
      </c>
      <c r="X16" t="s">
        <v>178</v>
      </c>
      <c r="Y16" t="s">
        <v>178</v>
      </c>
      <c r="Z16" t="s">
        <v>89</v>
      </c>
      <c r="AA16" t="s">
        <v>202</v>
      </c>
      <c r="AB16" t="s">
        <v>131</v>
      </c>
    </row>
    <row r="17" spans="1:28" x14ac:dyDescent="0.25">
      <c r="A17" t="s">
        <v>204</v>
      </c>
      <c r="B17" t="s">
        <v>906</v>
      </c>
      <c r="C17" t="s">
        <v>77</v>
      </c>
      <c r="D17">
        <v>34</v>
      </c>
      <c r="E17">
        <v>15</v>
      </c>
      <c r="F17" s="3">
        <v>9</v>
      </c>
      <c r="G17">
        <v>970</v>
      </c>
      <c r="H17" t="s">
        <v>205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</v>
      </c>
      <c r="P17">
        <v>0</v>
      </c>
      <c r="Q17" s="8" t="s">
        <v>206</v>
      </c>
      <c r="R17" s="8" t="s">
        <v>206</v>
      </c>
      <c r="S17" s="8" t="s">
        <v>116</v>
      </c>
      <c r="T17">
        <v>12</v>
      </c>
      <c r="U17">
        <v>64</v>
      </c>
      <c r="V17">
        <v>11</v>
      </c>
      <c r="W17" t="s">
        <v>89</v>
      </c>
      <c r="X17" t="s">
        <v>89</v>
      </c>
      <c r="Y17" t="s">
        <v>89</v>
      </c>
      <c r="Z17" t="s">
        <v>89</v>
      </c>
      <c r="AA17" t="s">
        <v>210</v>
      </c>
      <c r="AB17" t="s">
        <v>119</v>
      </c>
    </row>
    <row r="18" spans="1:28" x14ac:dyDescent="0.25">
      <c r="A18" t="s">
        <v>211</v>
      </c>
      <c r="B18" t="s">
        <v>908</v>
      </c>
      <c r="C18" t="s">
        <v>156</v>
      </c>
      <c r="D18">
        <v>32</v>
      </c>
      <c r="E18">
        <v>9</v>
      </c>
      <c r="F18" s="3">
        <v>9</v>
      </c>
      <c r="G18">
        <v>810</v>
      </c>
      <c r="H18" t="s">
        <v>212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 s="8" t="s">
        <v>158</v>
      </c>
      <c r="R18" s="8" t="s">
        <v>158</v>
      </c>
      <c r="S18" s="8" t="s">
        <v>158</v>
      </c>
      <c r="T18">
        <v>0</v>
      </c>
      <c r="U18">
        <v>0</v>
      </c>
      <c r="V18">
        <v>0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</row>
    <row r="19" spans="1:28" x14ac:dyDescent="0.25">
      <c r="A19" t="s">
        <v>213</v>
      </c>
      <c r="B19" t="s">
        <v>909</v>
      </c>
      <c r="C19" t="s">
        <v>170</v>
      </c>
      <c r="D19">
        <v>22</v>
      </c>
      <c r="E19">
        <v>15</v>
      </c>
      <c r="F19" s="3">
        <v>9</v>
      </c>
      <c r="G19">
        <v>789</v>
      </c>
      <c r="H19" t="s">
        <v>214</v>
      </c>
      <c r="I19">
        <v>3</v>
      </c>
      <c r="J19">
        <v>4</v>
      </c>
      <c r="K19">
        <v>7</v>
      </c>
      <c r="L19">
        <v>3</v>
      </c>
      <c r="M19">
        <v>0</v>
      </c>
      <c r="N19">
        <v>0</v>
      </c>
      <c r="O19">
        <v>0</v>
      </c>
      <c r="P19">
        <v>0</v>
      </c>
      <c r="Q19" s="8" t="s">
        <v>215</v>
      </c>
      <c r="R19" s="8" t="s">
        <v>215</v>
      </c>
      <c r="S19" s="8" t="s">
        <v>216</v>
      </c>
      <c r="T19">
        <v>104</v>
      </c>
      <c r="U19">
        <v>36</v>
      </c>
      <c r="V19">
        <v>147</v>
      </c>
      <c r="W19" t="s">
        <v>203</v>
      </c>
      <c r="X19" t="s">
        <v>150</v>
      </c>
      <c r="Y19" t="s">
        <v>220</v>
      </c>
      <c r="Z19" t="s">
        <v>203</v>
      </c>
      <c r="AA19" t="s">
        <v>73</v>
      </c>
      <c r="AB19" t="s">
        <v>153</v>
      </c>
    </row>
    <row r="20" spans="1:28" x14ac:dyDescent="0.25">
      <c r="A20" t="s">
        <v>221</v>
      </c>
      <c r="B20" t="s">
        <v>910</v>
      </c>
      <c r="C20" t="s">
        <v>77</v>
      </c>
      <c r="D20">
        <v>29</v>
      </c>
      <c r="E20">
        <v>9</v>
      </c>
      <c r="F20" s="3">
        <v>7</v>
      </c>
      <c r="G20">
        <v>602</v>
      </c>
      <c r="H20" t="s">
        <v>224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8" t="s">
        <v>225</v>
      </c>
      <c r="R20" s="8" t="s">
        <v>225</v>
      </c>
      <c r="S20" s="8" t="s">
        <v>158</v>
      </c>
      <c r="T20">
        <v>11</v>
      </c>
      <c r="U20">
        <v>39</v>
      </c>
      <c r="V20">
        <v>2</v>
      </c>
      <c r="W20" t="s">
        <v>89</v>
      </c>
      <c r="X20" t="s">
        <v>89</v>
      </c>
      <c r="Y20" t="s">
        <v>89</v>
      </c>
      <c r="Z20" t="s">
        <v>89</v>
      </c>
      <c r="AA20" t="s">
        <v>160</v>
      </c>
      <c r="AB20" t="s">
        <v>89</v>
      </c>
    </row>
    <row r="21" spans="1:28" x14ac:dyDescent="0.25">
      <c r="A21" t="s">
        <v>226</v>
      </c>
      <c r="B21" t="s">
        <v>906</v>
      </c>
      <c r="C21" t="s">
        <v>170</v>
      </c>
      <c r="D21">
        <v>29</v>
      </c>
      <c r="E21">
        <v>15</v>
      </c>
      <c r="F21" s="3">
        <v>6</v>
      </c>
      <c r="G21">
        <v>608</v>
      </c>
      <c r="H21" t="s">
        <v>227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3</v>
      </c>
      <c r="P21">
        <v>0</v>
      </c>
      <c r="Q21" s="8" t="s">
        <v>215</v>
      </c>
      <c r="R21" s="8" t="s">
        <v>215</v>
      </c>
      <c r="S21" s="8" t="s">
        <v>228</v>
      </c>
      <c r="T21">
        <v>66</v>
      </c>
      <c r="U21">
        <v>43</v>
      </c>
      <c r="V21">
        <v>111</v>
      </c>
      <c r="W21" t="s">
        <v>89</v>
      </c>
      <c r="X21" t="s">
        <v>232</v>
      </c>
      <c r="Y21" t="s">
        <v>232</v>
      </c>
      <c r="Z21" t="s">
        <v>89</v>
      </c>
      <c r="AA21" t="s">
        <v>233</v>
      </c>
      <c r="AB21" t="s">
        <v>92</v>
      </c>
    </row>
    <row r="22" spans="1:28" x14ac:dyDescent="0.25">
      <c r="A22" t="s">
        <v>235</v>
      </c>
      <c r="B22" t="s">
        <v>906</v>
      </c>
      <c r="C22" t="s">
        <v>135</v>
      </c>
      <c r="D22">
        <v>30</v>
      </c>
      <c r="E22">
        <v>10</v>
      </c>
      <c r="F22" s="3">
        <v>5</v>
      </c>
      <c r="G22">
        <v>458</v>
      </c>
      <c r="H22" t="s">
        <v>236</v>
      </c>
      <c r="I22">
        <v>2</v>
      </c>
      <c r="J22">
        <v>0</v>
      </c>
      <c r="K22">
        <v>2</v>
      </c>
      <c r="L22">
        <v>2</v>
      </c>
      <c r="M22">
        <v>0</v>
      </c>
      <c r="N22">
        <v>0</v>
      </c>
      <c r="O22">
        <v>1</v>
      </c>
      <c r="P22">
        <v>0</v>
      </c>
      <c r="Q22" s="8" t="s">
        <v>116</v>
      </c>
      <c r="R22" s="8" t="s">
        <v>116</v>
      </c>
      <c r="S22" s="8" t="s">
        <v>206</v>
      </c>
      <c r="T22">
        <v>10</v>
      </c>
      <c r="U22">
        <v>20</v>
      </c>
      <c r="V22">
        <v>1</v>
      </c>
      <c r="W22" t="s">
        <v>237</v>
      </c>
      <c r="X22" t="s">
        <v>89</v>
      </c>
      <c r="Y22" t="s">
        <v>237</v>
      </c>
      <c r="Z22" t="s">
        <v>237</v>
      </c>
      <c r="AA22" t="s">
        <v>68</v>
      </c>
      <c r="AB22" t="s">
        <v>210</v>
      </c>
    </row>
    <row r="23" spans="1:28" x14ac:dyDescent="0.25">
      <c r="A23" t="s">
        <v>238</v>
      </c>
      <c r="B23" t="s">
        <v>911</v>
      </c>
      <c r="C23" t="s">
        <v>170</v>
      </c>
      <c r="D23">
        <v>25</v>
      </c>
      <c r="E23">
        <v>2</v>
      </c>
      <c r="F23" s="3">
        <v>2</v>
      </c>
      <c r="G23">
        <v>144</v>
      </c>
      <c r="H23" t="s">
        <v>164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8" t="s">
        <v>225</v>
      </c>
      <c r="R23" s="8" t="s">
        <v>225</v>
      </c>
      <c r="S23" s="8" t="s">
        <v>159</v>
      </c>
      <c r="T23">
        <v>4</v>
      </c>
      <c r="U23">
        <v>3</v>
      </c>
      <c r="V23">
        <v>9</v>
      </c>
      <c r="W23" t="s">
        <v>89</v>
      </c>
      <c r="X23" t="s">
        <v>89</v>
      </c>
      <c r="Y23" t="s">
        <v>89</v>
      </c>
      <c r="Z23" t="s">
        <v>89</v>
      </c>
      <c r="AA23" t="s">
        <v>168</v>
      </c>
      <c r="AB23" t="s">
        <v>203</v>
      </c>
    </row>
    <row r="24" spans="1:28" x14ac:dyDescent="0.25">
      <c r="A24" t="s">
        <v>241</v>
      </c>
      <c r="B24" t="s">
        <v>906</v>
      </c>
      <c r="C24" t="s">
        <v>77</v>
      </c>
      <c r="D24">
        <v>19</v>
      </c>
      <c r="E24">
        <v>2</v>
      </c>
      <c r="F24" s="3">
        <v>1</v>
      </c>
      <c r="G24">
        <v>96</v>
      </c>
      <c r="H24" t="s">
        <v>117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 s="8" t="s">
        <v>158</v>
      </c>
      <c r="R24" s="8" t="s">
        <v>158</v>
      </c>
      <c r="S24" s="8" t="s">
        <v>158</v>
      </c>
      <c r="T24">
        <v>1</v>
      </c>
      <c r="U24">
        <v>3</v>
      </c>
      <c r="V24">
        <v>0</v>
      </c>
      <c r="W24" t="s">
        <v>89</v>
      </c>
      <c r="X24" t="s">
        <v>89</v>
      </c>
      <c r="Y24" t="s">
        <v>89</v>
      </c>
      <c r="Z24" t="s">
        <v>89</v>
      </c>
      <c r="AA24" t="s">
        <v>89</v>
      </c>
      <c r="AB24" t="s">
        <v>89</v>
      </c>
    </row>
    <row r="25" spans="1:28" x14ac:dyDescent="0.25">
      <c r="A25" t="s">
        <v>242</v>
      </c>
      <c r="B25" t="s">
        <v>912</v>
      </c>
      <c r="C25" t="s">
        <v>123</v>
      </c>
      <c r="D25">
        <v>28</v>
      </c>
      <c r="E25">
        <v>2</v>
      </c>
      <c r="F25" s="3">
        <v>1</v>
      </c>
      <c r="G25">
        <v>65</v>
      </c>
      <c r="H25" t="s">
        <v>115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8" t="s">
        <v>158</v>
      </c>
      <c r="R25" s="8" t="s">
        <v>158</v>
      </c>
      <c r="S25" s="8" t="s">
        <v>158</v>
      </c>
      <c r="T25">
        <v>0</v>
      </c>
      <c r="U25">
        <v>4</v>
      </c>
      <c r="V25">
        <v>1</v>
      </c>
      <c r="W25" t="s">
        <v>89</v>
      </c>
      <c r="X25" t="s">
        <v>89</v>
      </c>
      <c r="Y25" t="s">
        <v>89</v>
      </c>
      <c r="Z25" t="s">
        <v>89</v>
      </c>
      <c r="AA25" t="s">
        <v>89</v>
      </c>
      <c r="AB25" t="s">
        <v>121</v>
      </c>
    </row>
    <row r="26" spans="1:28" x14ac:dyDescent="0.25">
      <c r="A26" t="s">
        <v>245</v>
      </c>
      <c r="B26" t="s">
        <v>913</v>
      </c>
      <c r="C26" t="s">
        <v>77</v>
      </c>
      <c r="D26">
        <v>20</v>
      </c>
      <c r="E26">
        <v>1</v>
      </c>
      <c r="F26" s="3">
        <v>1</v>
      </c>
      <c r="G26">
        <v>53</v>
      </c>
      <c r="H26" t="s">
        <v>207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 s="8" t="s">
        <v>158</v>
      </c>
      <c r="R26" s="8" t="s">
        <v>158</v>
      </c>
      <c r="S26" s="8" t="s">
        <v>158</v>
      </c>
      <c r="T26">
        <v>0</v>
      </c>
      <c r="U26">
        <v>2</v>
      </c>
      <c r="V26">
        <v>0</v>
      </c>
      <c r="W26" t="s">
        <v>89</v>
      </c>
      <c r="X26" t="s">
        <v>89</v>
      </c>
      <c r="Y26" t="s">
        <v>89</v>
      </c>
      <c r="Z26" t="s">
        <v>89</v>
      </c>
      <c r="AA26" t="s">
        <v>160</v>
      </c>
      <c r="AB26" t="s">
        <v>89</v>
      </c>
    </row>
    <row r="27" spans="1:28" x14ac:dyDescent="0.25">
      <c r="A27" t="s">
        <v>248</v>
      </c>
      <c r="B27" t="s">
        <v>906</v>
      </c>
      <c r="C27" t="s">
        <v>97</v>
      </c>
      <c r="D27">
        <v>22</v>
      </c>
      <c r="E27">
        <v>7</v>
      </c>
      <c r="F27" s="3">
        <v>0</v>
      </c>
      <c r="G27">
        <v>89</v>
      </c>
      <c r="H27" t="s">
        <v>249</v>
      </c>
      <c r="I27">
        <v>1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 s="8" t="s">
        <v>215</v>
      </c>
      <c r="R27" s="8" t="s">
        <v>215</v>
      </c>
      <c r="S27" s="8" t="s">
        <v>158</v>
      </c>
      <c r="T27">
        <v>3</v>
      </c>
      <c r="U27">
        <v>3</v>
      </c>
      <c r="V27">
        <v>8</v>
      </c>
      <c r="W27" t="s">
        <v>250</v>
      </c>
      <c r="X27" t="s">
        <v>89</v>
      </c>
      <c r="Y27" t="s">
        <v>250</v>
      </c>
      <c r="Z27" t="s">
        <v>250</v>
      </c>
      <c r="AA27" t="s">
        <v>220</v>
      </c>
      <c r="AB27" t="s">
        <v>89</v>
      </c>
    </row>
    <row r="28" spans="1:28" x14ac:dyDescent="0.25">
      <c r="A28" t="s">
        <v>251</v>
      </c>
      <c r="B28" t="s">
        <v>906</v>
      </c>
      <c r="C28" t="s">
        <v>52</v>
      </c>
      <c r="D28">
        <v>20</v>
      </c>
      <c r="E28">
        <v>1</v>
      </c>
      <c r="F28" s="3">
        <v>0</v>
      </c>
      <c r="G28">
        <v>28</v>
      </c>
      <c r="H28" t="s">
        <v>138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8" t="s">
        <v>158</v>
      </c>
      <c r="R28" s="8" t="s">
        <v>158</v>
      </c>
      <c r="S28" s="8" t="s">
        <v>158</v>
      </c>
      <c r="T28">
        <v>0</v>
      </c>
      <c r="U28">
        <v>1</v>
      </c>
      <c r="V28">
        <v>0</v>
      </c>
      <c r="W28" t="s">
        <v>89</v>
      </c>
      <c r="X28" t="s">
        <v>89</v>
      </c>
      <c r="Y28" t="s">
        <v>89</v>
      </c>
      <c r="Z28" t="s">
        <v>89</v>
      </c>
      <c r="AA28" t="s">
        <v>233</v>
      </c>
      <c r="AB28" t="s">
        <v>89</v>
      </c>
    </row>
    <row r="29" spans="1:28" x14ac:dyDescent="0.25">
      <c r="A29" t="s">
        <v>253</v>
      </c>
      <c r="B29" t="s">
        <v>906</v>
      </c>
      <c r="C29" t="s">
        <v>123</v>
      </c>
      <c r="D29">
        <v>19</v>
      </c>
      <c r="E29">
        <v>1</v>
      </c>
      <c r="F29" s="3">
        <v>0</v>
      </c>
      <c r="G29">
        <v>19</v>
      </c>
      <c r="H29" t="s">
        <v>225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8" t="s">
        <v>158</v>
      </c>
      <c r="R29" s="8" t="s">
        <v>158</v>
      </c>
      <c r="S29" s="8" t="s">
        <v>158</v>
      </c>
      <c r="T29">
        <v>1</v>
      </c>
      <c r="U29">
        <v>0</v>
      </c>
      <c r="V29">
        <v>0</v>
      </c>
      <c r="W29" t="s">
        <v>89</v>
      </c>
      <c r="X29" t="s">
        <v>89</v>
      </c>
      <c r="Y29" t="s">
        <v>89</v>
      </c>
      <c r="Z29" t="s">
        <v>89</v>
      </c>
      <c r="AA29" t="s">
        <v>233</v>
      </c>
      <c r="AB29" t="s">
        <v>89</v>
      </c>
    </row>
    <row r="30" spans="1:28" x14ac:dyDescent="0.25">
      <c r="A30" t="s">
        <v>254</v>
      </c>
      <c r="B30" t="s">
        <v>906</v>
      </c>
      <c r="C30" t="s">
        <v>77</v>
      </c>
      <c r="D30">
        <v>19</v>
      </c>
      <c r="E30">
        <v>0</v>
      </c>
      <c r="F30" s="3">
        <v>0</v>
      </c>
      <c r="G30" t="s">
        <v>30</v>
      </c>
      <c r="H30" t="s">
        <v>30</v>
      </c>
      <c r="I30" t="s">
        <v>30</v>
      </c>
      <c r="J30" t="s">
        <v>30</v>
      </c>
      <c r="Q30" s="8" t="s">
        <v>30</v>
      </c>
      <c r="R30" s="8" t="s">
        <v>30</v>
      </c>
      <c r="S30" s="8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</row>
    <row r="31" spans="1:28" x14ac:dyDescent="0.25">
      <c r="A31" t="s">
        <v>255</v>
      </c>
      <c r="B31" t="s">
        <v>906</v>
      </c>
      <c r="C31" t="s">
        <v>156</v>
      </c>
      <c r="D31">
        <v>17</v>
      </c>
      <c r="E31">
        <v>0</v>
      </c>
      <c r="F31" s="3">
        <v>0</v>
      </c>
      <c r="G31" t="s">
        <v>30</v>
      </c>
      <c r="H31" t="s">
        <v>30</v>
      </c>
      <c r="I31" t="s">
        <v>30</v>
      </c>
      <c r="J31" t="s">
        <v>30</v>
      </c>
      <c r="Q31" s="8" t="s">
        <v>30</v>
      </c>
      <c r="R31" s="8" t="s">
        <v>30</v>
      </c>
      <c r="S31" s="8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</row>
    <row r="32" spans="1:28" x14ac:dyDescent="0.25">
      <c r="A32" t="s">
        <v>256</v>
      </c>
      <c r="B32" t="s">
        <v>906</v>
      </c>
      <c r="C32" t="s">
        <v>156</v>
      </c>
      <c r="D32">
        <v>39</v>
      </c>
      <c r="E32">
        <v>0</v>
      </c>
      <c r="F32" s="3">
        <v>0</v>
      </c>
      <c r="G32" t="s">
        <v>30</v>
      </c>
      <c r="H32" t="s">
        <v>30</v>
      </c>
      <c r="I32" t="s">
        <v>30</v>
      </c>
      <c r="J32" t="s">
        <v>30</v>
      </c>
      <c r="Q32" s="8" t="s">
        <v>30</v>
      </c>
      <c r="R32" s="8" t="s">
        <v>30</v>
      </c>
      <c r="S32" s="8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</row>
    <row r="33" spans="1:28" x14ac:dyDescent="0.25">
      <c r="A33" t="s">
        <v>257</v>
      </c>
      <c r="B33" t="s">
        <v>914</v>
      </c>
      <c r="C33" t="s">
        <v>135</v>
      </c>
      <c r="D33">
        <v>23</v>
      </c>
      <c r="E33">
        <v>0</v>
      </c>
      <c r="F33" s="3">
        <v>0</v>
      </c>
      <c r="G33" t="s">
        <v>30</v>
      </c>
      <c r="H33" t="s">
        <v>30</v>
      </c>
      <c r="I33" t="s">
        <v>30</v>
      </c>
      <c r="J33" t="s">
        <v>30</v>
      </c>
      <c r="Q33" s="8" t="s">
        <v>30</v>
      </c>
      <c r="R33" s="8" t="s">
        <v>30</v>
      </c>
      <c r="S33" s="8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</row>
    <row r="34" spans="1:28" x14ac:dyDescent="0.25">
      <c r="A34" t="s">
        <v>258</v>
      </c>
      <c r="B34" t="s">
        <v>907</v>
      </c>
      <c r="C34" t="s">
        <v>77</v>
      </c>
      <c r="D34">
        <v>19</v>
      </c>
      <c r="E34">
        <v>0</v>
      </c>
      <c r="F34" s="3">
        <v>0</v>
      </c>
      <c r="G34" t="s">
        <v>30</v>
      </c>
      <c r="H34" t="s">
        <v>30</v>
      </c>
      <c r="I34" t="s">
        <v>30</v>
      </c>
      <c r="J34" t="s">
        <v>30</v>
      </c>
      <c r="Q34" s="8" t="s">
        <v>30</v>
      </c>
      <c r="R34" s="8" t="s">
        <v>30</v>
      </c>
      <c r="S34" s="8" t="s">
        <v>30</v>
      </c>
      <c r="W34" t="s">
        <v>30</v>
      </c>
      <c r="X34" t="s">
        <v>30</v>
      </c>
      <c r="Y34" t="s">
        <v>30</v>
      </c>
      <c r="Z34" t="s">
        <v>30</v>
      </c>
      <c r="AA34" t="s">
        <v>30</v>
      </c>
      <c r="AB34" t="s">
        <v>30</v>
      </c>
    </row>
    <row r="35" spans="1:28" x14ac:dyDescent="0.25">
      <c r="A35" t="s">
        <v>259</v>
      </c>
      <c r="B35" t="s">
        <v>906</v>
      </c>
      <c r="C35" t="s">
        <v>77</v>
      </c>
      <c r="D35">
        <v>22</v>
      </c>
      <c r="E35">
        <v>0</v>
      </c>
      <c r="F35" s="3">
        <v>0</v>
      </c>
      <c r="G35" t="s">
        <v>30</v>
      </c>
      <c r="H35" t="s">
        <v>30</v>
      </c>
      <c r="I35" t="s">
        <v>30</v>
      </c>
      <c r="J35" t="s">
        <v>30</v>
      </c>
      <c r="Q35" s="8" t="s">
        <v>30</v>
      </c>
      <c r="R35" s="8" t="s">
        <v>30</v>
      </c>
      <c r="S35" s="8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</row>
    <row r="36" spans="1:28" x14ac:dyDescent="0.25">
      <c r="A36" t="s">
        <v>260</v>
      </c>
      <c r="B36" t="s">
        <v>906</v>
      </c>
      <c r="C36" t="s">
        <v>123</v>
      </c>
      <c r="D36">
        <v>19</v>
      </c>
      <c r="E36">
        <v>0</v>
      </c>
      <c r="F36" s="3">
        <v>0</v>
      </c>
      <c r="G36" t="s">
        <v>30</v>
      </c>
      <c r="H36" t="s">
        <v>30</v>
      </c>
      <c r="I36" t="s">
        <v>30</v>
      </c>
      <c r="J36" t="s">
        <v>30</v>
      </c>
      <c r="Q36" s="8" t="s">
        <v>30</v>
      </c>
      <c r="R36" s="8" t="s">
        <v>30</v>
      </c>
      <c r="S36" s="8" t="s">
        <v>30</v>
      </c>
      <c r="W36" t="s">
        <v>30</v>
      </c>
      <c r="X36" t="s">
        <v>30</v>
      </c>
      <c r="Y36" t="s">
        <v>30</v>
      </c>
      <c r="Z36" t="s">
        <v>30</v>
      </c>
      <c r="AA36" t="s">
        <v>30</v>
      </c>
      <c r="AB36" t="s">
        <v>30</v>
      </c>
    </row>
    <row r="37" spans="1:28" x14ac:dyDescent="0.25">
      <c r="A37" t="s">
        <v>261</v>
      </c>
      <c r="B37" t="s">
        <v>30</v>
      </c>
      <c r="C37" t="s">
        <v>30</v>
      </c>
      <c r="D37" t="s">
        <v>262</v>
      </c>
      <c r="E37" t="s">
        <v>53</v>
      </c>
      <c r="F37" s="3" t="s">
        <v>263</v>
      </c>
      <c r="G37" t="s">
        <v>264</v>
      </c>
      <c r="H37" t="s">
        <v>265</v>
      </c>
      <c r="I37" t="s">
        <v>266</v>
      </c>
      <c r="J37" t="s">
        <v>191</v>
      </c>
      <c r="K37">
        <v>82</v>
      </c>
      <c r="L37">
        <v>46</v>
      </c>
      <c r="M37">
        <v>1</v>
      </c>
      <c r="N37">
        <v>2</v>
      </c>
      <c r="O37" t="s">
        <v>268</v>
      </c>
      <c r="P37">
        <v>1</v>
      </c>
      <c r="Q37" s="8" t="s">
        <v>269</v>
      </c>
      <c r="R37" s="8" t="s">
        <v>270</v>
      </c>
      <c r="S37" s="8" t="s">
        <v>271</v>
      </c>
      <c r="T37">
        <v>735</v>
      </c>
      <c r="U37">
        <v>1248</v>
      </c>
      <c r="V37">
        <v>1232</v>
      </c>
      <c r="W37" t="s">
        <v>274</v>
      </c>
      <c r="X37" t="s">
        <v>275</v>
      </c>
      <c r="Y37" t="s">
        <v>276</v>
      </c>
      <c r="Z37" t="s">
        <v>277</v>
      </c>
      <c r="AA37" t="s">
        <v>278</v>
      </c>
      <c r="AB37" t="s">
        <v>279</v>
      </c>
    </row>
    <row r="38" spans="1:28" x14ac:dyDescent="0.25">
      <c r="A38" t="s">
        <v>280</v>
      </c>
      <c r="B38" t="s">
        <v>30</v>
      </c>
      <c r="C38" t="s">
        <v>30</v>
      </c>
      <c r="D38" t="s">
        <v>281</v>
      </c>
      <c r="E38" t="s">
        <v>53</v>
      </c>
      <c r="F38" s="3" t="s">
        <v>263</v>
      </c>
      <c r="G38" t="s">
        <v>264</v>
      </c>
      <c r="H38" t="s">
        <v>265</v>
      </c>
      <c r="I38" t="s">
        <v>200</v>
      </c>
      <c r="J38" t="s">
        <v>282</v>
      </c>
      <c r="K38">
        <v>61</v>
      </c>
      <c r="L38">
        <v>31</v>
      </c>
      <c r="M38">
        <v>3</v>
      </c>
      <c r="N38">
        <v>3</v>
      </c>
      <c r="O38" t="s">
        <v>285</v>
      </c>
      <c r="P38">
        <v>1</v>
      </c>
      <c r="Q38" s="8" t="s">
        <v>286</v>
      </c>
      <c r="R38" s="8" t="s">
        <v>287</v>
      </c>
      <c r="S38" s="8" t="s">
        <v>288</v>
      </c>
      <c r="T38">
        <v>377</v>
      </c>
      <c r="U38">
        <v>587</v>
      </c>
      <c r="V38">
        <v>580</v>
      </c>
      <c r="W38" t="s">
        <v>291</v>
      </c>
      <c r="X38" t="s">
        <v>292</v>
      </c>
      <c r="Y38" t="s">
        <v>293</v>
      </c>
      <c r="Z38" t="s">
        <v>294</v>
      </c>
      <c r="AA38" t="s">
        <v>291</v>
      </c>
      <c r="AB38" t="s">
        <v>292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C457-AB0E-4E00-8711-152A8526F923}">
  <dimension ref="A1:AB35"/>
  <sheetViews>
    <sheetView workbookViewId="0">
      <pane ySplit="1" topLeftCell="A2" activePane="bottomLeft" state="frozen"/>
      <selection pane="bottomLeft" activeCell="U29" sqref="U29:U33"/>
    </sheetView>
  </sheetViews>
  <sheetFormatPr defaultRowHeight="15" x14ac:dyDescent="0.25"/>
  <cols>
    <col min="1" max="1" width="20.7109375" customWidth="1"/>
    <col min="2" max="6" width="7.7109375" customWidth="1"/>
    <col min="7" max="8" width="12.140625" bestFit="1" customWidth="1"/>
    <col min="9" max="9" width="12.28515625" bestFit="1" customWidth="1"/>
    <col min="10" max="22" width="12.42578125" bestFit="1" customWidth="1"/>
    <col min="23" max="28" width="13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961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28</v>
      </c>
      <c r="AB1" t="s">
        <v>29</v>
      </c>
    </row>
    <row r="2" spans="1:28" x14ac:dyDescent="0.25">
      <c r="A2" t="s">
        <v>30</v>
      </c>
      <c r="B2" t="s">
        <v>30</v>
      </c>
      <c r="C2" t="s">
        <v>30</v>
      </c>
      <c r="D2" t="s">
        <v>30</v>
      </c>
      <c r="F2" s="2" t="s">
        <v>31</v>
      </c>
      <c r="G2" s="2" t="s">
        <v>31</v>
      </c>
      <c r="H2" s="2" t="s">
        <v>31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33</v>
      </c>
      <c r="R2" s="2" t="s">
        <v>33</v>
      </c>
      <c r="S2" s="2" t="s">
        <v>33</v>
      </c>
      <c r="T2" s="2" t="s">
        <v>34</v>
      </c>
      <c r="U2" s="2" t="s">
        <v>34</v>
      </c>
      <c r="V2" s="2" t="s">
        <v>34</v>
      </c>
      <c r="W2" s="2" t="s">
        <v>35</v>
      </c>
      <c r="X2" s="2" t="s">
        <v>35</v>
      </c>
      <c r="Y2" s="2" t="s">
        <v>35</v>
      </c>
      <c r="Z2" s="2" t="s">
        <v>35</v>
      </c>
      <c r="AA2" s="2" t="s">
        <v>35</v>
      </c>
      <c r="AB2" s="2" t="s">
        <v>35</v>
      </c>
    </row>
    <row r="3" spans="1:28" x14ac:dyDescent="0.25">
      <c r="A3" t="s">
        <v>36</v>
      </c>
      <c r="B3" t="s">
        <v>37</v>
      </c>
      <c r="C3" t="s">
        <v>38</v>
      </c>
      <c r="D3" t="s">
        <v>39</v>
      </c>
      <c r="E3" t="s">
        <v>49</v>
      </c>
      <c r="F3" t="s">
        <v>40</v>
      </c>
      <c r="G3" t="s">
        <v>41</v>
      </c>
      <c r="H3" t="s">
        <v>42</v>
      </c>
      <c r="I3" t="s">
        <v>563</v>
      </c>
      <c r="J3" t="s">
        <v>923</v>
      </c>
      <c r="K3" t="s">
        <v>43</v>
      </c>
      <c r="L3" t="s">
        <v>921</v>
      </c>
      <c r="M3" t="s">
        <v>44</v>
      </c>
      <c r="N3" t="s">
        <v>915</v>
      </c>
      <c r="O3" t="s">
        <v>916</v>
      </c>
      <c r="P3" t="s">
        <v>917</v>
      </c>
      <c r="Q3" t="s">
        <v>45</v>
      </c>
      <c r="R3" t="s">
        <v>922</v>
      </c>
      <c r="S3" t="s">
        <v>46</v>
      </c>
      <c r="T3" t="s">
        <v>918</v>
      </c>
      <c r="U3" t="s">
        <v>919</v>
      </c>
      <c r="V3" t="s">
        <v>920</v>
      </c>
      <c r="W3" t="s">
        <v>563</v>
      </c>
      <c r="X3" t="s">
        <v>923</v>
      </c>
      <c r="Y3" t="s">
        <v>43</v>
      </c>
      <c r="Z3" t="s">
        <v>921</v>
      </c>
      <c r="AA3" t="s">
        <v>45</v>
      </c>
      <c r="AB3" t="s">
        <v>46</v>
      </c>
    </row>
    <row r="4" spans="1:28" x14ac:dyDescent="0.25">
      <c r="A4" t="s">
        <v>242</v>
      </c>
      <c r="B4" t="s">
        <v>912</v>
      </c>
      <c r="C4" t="s">
        <v>123</v>
      </c>
      <c r="D4" t="s">
        <v>282</v>
      </c>
      <c r="E4">
        <v>34</v>
      </c>
      <c r="F4">
        <v>34</v>
      </c>
      <c r="G4">
        <v>2.931</v>
      </c>
      <c r="H4" t="s">
        <v>295</v>
      </c>
      <c r="I4">
        <v>8</v>
      </c>
      <c r="J4">
        <v>9</v>
      </c>
      <c r="K4" t="s">
        <v>185</v>
      </c>
      <c r="L4" t="s">
        <v>188</v>
      </c>
      <c r="M4" t="s">
        <v>60</v>
      </c>
      <c r="N4" t="s">
        <v>60</v>
      </c>
      <c r="O4" t="s">
        <v>188</v>
      </c>
      <c r="P4" t="s">
        <v>59</v>
      </c>
      <c r="Q4" t="s">
        <v>296</v>
      </c>
      <c r="R4" t="s">
        <v>296</v>
      </c>
      <c r="S4" t="s">
        <v>147</v>
      </c>
      <c r="T4">
        <v>76</v>
      </c>
      <c r="U4">
        <v>376</v>
      </c>
      <c r="V4" t="s">
        <v>300</v>
      </c>
      <c r="W4" t="s">
        <v>92</v>
      </c>
      <c r="X4" t="s">
        <v>107</v>
      </c>
      <c r="Y4" t="s">
        <v>301</v>
      </c>
      <c r="Z4" t="s">
        <v>92</v>
      </c>
      <c r="AA4" t="s">
        <v>233</v>
      </c>
      <c r="AB4" t="s">
        <v>233</v>
      </c>
    </row>
    <row r="5" spans="1:28" x14ac:dyDescent="0.25">
      <c r="A5" t="s">
        <v>142</v>
      </c>
      <c r="B5" t="s">
        <v>906</v>
      </c>
      <c r="C5" t="s">
        <v>170</v>
      </c>
      <c r="D5" t="s">
        <v>78</v>
      </c>
      <c r="E5">
        <v>35</v>
      </c>
      <c r="F5">
        <v>33</v>
      </c>
      <c r="G5">
        <v>2.8570000000000002</v>
      </c>
      <c r="H5" t="s">
        <v>303</v>
      </c>
      <c r="I5">
        <v>19</v>
      </c>
      <c r="J5">
        <v>8</v>
      </c>
      <c r="K5" t="s">
        <v>282</v>
      </c>
      <c r="L5" t="s">
        <v>55</v>
      </c>
      <c r="M5" t="s">
        <v>60</v>
      </c>
      <c r="N5" t="s">
        <v>60</v>
      </c>
      <c r="O5" t="s">
        <v>56</v>
      </c>
      <c r="P5" t="s">
        <v>60</v>
      </c>
      <c r="Q5" t="s">
        <v>304</v>
      </c>
      <c r="R5" t="s">
        <v>304</v>
      </c>
      <c r="S5" t="s">
        <v>305</v>
      </c>
      <c r="T5">
        <v>93</v>
      </c>
      <c r="U5">
        <v>168</v>
      </c>
      <c r="V5" t="s">
        <v>308</v>
      </c>
      <c r="W5" t="s">
        <v>309</v>
      </c>
      <c r="X5" t="s">
        <v>92</v>
      </c>
      <c r="Y5" t="s">
        <v>71</v>
      </c>
      <c r="Z5" t="s">
        <v>309</v>
      </c>
      <c r="AA5" t="s">
        <v>310</v>
      </c>
      <c r="AB5" t="s">
        <v>153</v>
      </c>
    </row>
    <row r="6" spans="1:28" x14ac:dyDescent="0.25">
      <c r="A6" t="s">
        <v>154</v>
      </c>
      <c r="B6" t="s">
        <v>907</v>
      </c>
      <c r="C6" t="s">
        <v>156</v>
      </c>
      <c r="D6" t="s">
        <v>311</v>
      </c>
      <c r="E6">
        <v>33</v>
      </c>
      <c r="F6">
        <v>33</v>
      </c>
      <c r="G6">
        <v>2.7850000000000001</v>
      </c>
      <c r="H6" t="s">
        <v>312</v>
      </c>
      <c r="I6">
        <v>0</v>
      </c>
      <c r="J6">
        <v>0</v>
      </c>
      <c r="K6" t="s">
        <v>60</v>
      </c>
      <c r="L6" t="s">
        <v>60</v>
      </c>
      <c r="M6" t="s">
        <v>60</v>
      </c>
      <c r="N6" t="s">
        <v>60</v>
      </c>
      <c r="O6" t="s">
        <v>81</v>
      </c>
      <c r="P6" t="s">
        <v>60</v>
      </c>
      <c r="Q6" t="s">
        <v>158</v>
      </c>
      <c r="R6" t="s">
        <v>158</v>
      </c>
      <c r="S6" t="s">
        <v>206</v>
      </c>
      <c r="T6">
        <v>0</v>
      </c>
      <c r="U6">
        <v>4</v>
      </c>
      <c r="V6" t="s">
        <v>60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</row>
    <row r="7" spans="1:28" x14ac:dyDescent="0.25">
      <c r="A7" t="s">
        <v>313</v>
      </c>
      <c r="B7" t="s">
        <v>925</v>
      </c>
      <c r="C7" t="s">
        <v>97</v>
      </c>
      <c r="D7" t="s">
        <v>78</v>
      </c>
      <c r="E7">
        <v>36</v>
      </c>
      <c r="F7">
        <v>31</v>
      </c>
      <c r="G7">
        <v>2.6469999999999998</v>
      </c>
      <c r="H7" t="s">
        <v>315</v>
      </c>
      <c r="I7">
        <v>11</v>
      </c>
      <c r="J7">
        <v>8</v>
      </c>
      <c r="K7" t="s">
        <v>55</v>
      </c>
      <c r="L7" t="s">
        <v>145</v>
      </c>
      <c r="M7" t="s">
        <v>56</v>
      </c>
      <c r="N7" t="s">
        <v>56</v>
      </c>
      <c r="O7" t="s">
        <v>56</v>
      </c>
      <c r="P7" t="s">
        <v>60</v>
      </c>
      <c r="Q7" t="s">
        <v>171</v>
      </c>
      <c r="R7" t="s">
        <v>316</v>
      </c>
      <c r="S7" t="s">
        <v>317</v>
      </c>
      <c r="T7">
        <v>64</v>
      </c>
      <c r="U7">
        <v>103</v>
      </c>
      <c r="V7" t="s">
        <v>318</v>
      </c>
      <c r="W7" t="s">
        <v>319</v>
      </c>
      <c r="X7" t="s">
        <v>320</v>
      </c>
      <c r="Y7" t="s">
        <v>321</v>
      </c>
      <c r="Z7" t="s">
        <v>322</v>
      </c>
      <c r="AA7" t="s">
        <v>240</v>
      </c>
      <c r="AB7" t="s">
        <v>88</v>
      </c>
    </row>
    <row r="8" spans="1:28" x14ac:dyDescent="0.25">
      <c r="A8" t="s">
        <v>204</v>
      </c>
      <c r="B8" t="s">
        <v>906</v>
      </c>
      <c r="C8" t="s">
        <v>77</v>
      </c>
      <c r="D8" t="s">
        <v>302</v>
      </c>
      <c r="E8">
        <v>32</v>
      </c>
      <c r="F8">
        <v>30</v>
      </c>
      <c r="G8">
        <v>2.7669999999999999</v>
      </c>
      <c r="H8" t="s">
        <v>325</v>
      </c>
      <c r="I8">
        <v>0</v>
      </c>
      <c r="J8">
        <v>4</v>
      </c>
      <c r="K8" t="s">
        <v>99</v>
      </c>
      <c r="L8" t="s">
        <v>60</v>
      </c>
      <c r="M8" t="s">
        <v>60</v>
      </c>
      <c r="N8" t="s">
        <v>60</v>
      </c>
      <c r="O8" t="s">
        <v>56</v>
      </c>
      <c r="P8" t="s">
        <v>60</v>
      </c>
      <c r="Q8" t="s">
        <v>116</v>
      </c>
      <c r="R8" t="s">
        <v>116</v>
      </c>
      <c r="S8" t="s">
        <v>326</v>
      </c>
      <c r="T8">
        <v>74</v>
      </c>
      <c r="U8">
        <v>157</v>
      </c>
      <c r="V8" t="s">
        <v>328</v>
      </c>
      <c r="W8" t="s">
        <v>89</v>
      </c>
      <c r="X8" t="s">
        <v>108</v>
      </c>
      <c r="Y8" t="s">
        <v>108</v>
      </c>
      <c r="Z8" t="s">
        <v>89</v>
      </c>
      <c r="AA8" t="s">
        <v>210</v>
      </c>
      <c r="AB8" t="s">
        <v>73</v>
      </c>
    </row>
    <row r="9" spans="1:28" x14ac:dyDescent="0.25">
      <c r="A9" t="s">
        <v>95</v>
      </c>
      <c r="B9" t="s">
        <v>904</v>
      </c>
      <c r="C9" t="s">
        <v>97</v>
      </c>
      <c r="D9" t="s">
        <v>252</v>
      </c>
      <c r="E9">
        <v>33</v>
      </c>
      <c r="F9">
        <v>29</v>
      </c>
      <c r="G9">
        <v>2.5779999999999998</v>
      </c>
      <c r="H9" t="s">
        <v>329</v>
      </c>
      <c r="I9">
        <v>6</v>
      </c>
      <c r="J9">
        <v>9</v>
      </c>
      <c r="K9" t="s">
        <v>65</v>
      </c>
      <c r="L9" t="s">
        <v>100</v>
      </c>
      <c r="M9" t="s">
        <v>60</v>
      </c>
      <c r="N9" t="s">
        <v>60</v>
      </c>
      <c r="O9" t="s">
        <v>188</v>
      </c>
      <c r="P9" t="s">
        <v>60</v>
      </c>
      <c r="Q9" t="s">
        <v>330</v>
      </c>
      <c r="R9" t="s">
        <v>330</v>
      </c>
      <c r="S9" t="s">
        <v>331</v>
      </c>
      <c r="T9">
        <v>140</v>
      </c>
      <c r="U9">
        <v>177</v>
      </c>
      <c r="V9" t="s">
        <v>333</v>
      </c>
      <c r="W9" t="s">
        <v>334</v>
      </c>
      <c r="X9" t="s">
        <v>322</v>
      </c>
      <c r="Y9" t="s">
        <v>301</v>
      </c>
      <c r="Z9" t="s">
        <v>334</v>
      </c>
      <c r="AA9" t="s">
        <v>108</v>
      </c>
      <c r="AB9" t="s">
        <v>320</v>
      </c>
    </row>
    <row r="10" spans="1:28" x14ac:dyDescent="0.25">
      <c r="A10" t="s">
        <v>50</v>
      </c>
      <c r="B10" t="s">
        <v>902</v>
      </c>
      <c r="C10" t="s">
        <v>52</v>
      </c>
      <c r="D10" t="s">
        <v>78</v>
      </c>
      <c r="E10">
        <v>31</v>
      </c>
      <c r="F10">
        <v>29</v>
      </c>
      <c r="G10">
        <v>2.552</v>
      </c>
      <c r="H10" t="s">
        <v>335</v>
      </c>
      <c r="I10">
        <v>27</v>
      </c>
      <c r="J10">
        <v>5</v>
      </c>
      <c r="K10" t="s">
        <v>139</v>
      </c>
      <c r="L10" t="s">
        <v>112</v>
      </c>
      <c r="M10" t="s">
        <v>144</v>
      </c>
      <c r="N10" t="s">
        <v>188</v>
      </c>
      <c r="O10" t="s">
        <v>59</v>
      </c>
      <c r="P10" t="s">
        <v>60</v>
      </c>
      <c r="Q10" t="s">
        <v>336</v>
      </c>
      <c r="R10" t="s">
        <v>337</v>
      </c>
      <c r="S10" t="s">
        <v>338</v>
      </c>
      <c r="T10">
        <v>35</v>
      </c>
      <c r="U10">
        <v>26</v>
      </c>
      <c r="V10" t="s">
        <v>340</v>
      </c>
      <c r="W10" t="s">
        <v>341</v>
      </c>
      <c r="X10" t="s">
        <v>193</v>
      </c>
      <c r="Y10" t="s">
        <v>292</v>
      </c>
      <c r="Z10" t="s">
        <v>195</v>
      </c>
      <c r="AA10" t="s">
        <v>342</v>
      </c>
      <c r="AB10" t="s">
        <v>232</v>
      </c>
    </row>
    <row r="11" spans="1:28" x14ac:dyDescent="0.25">
      <c r="A11" t="s">
        <v>179</v>
      </c>
      <c r="B11" t="s">
        <v>904</v>
      </c>
      <c r="C11" t="s">
        <v>77</v>
      </c>
      <c r="D11" t="s">
        <v>339</v>
      </c>
      <c r="E11">
        <v>30</v>
      </c>
      <c r="F11">
        <v>28</v>
      </c>
      <c r="G11">
        <v>2.5590000000000002</v>
      </c>
      <c r="H11" t="s">
        <v>335</v>
      </c>
      <c r="I11">
        <v>0</v>
      </c>
      <c r="J11">
        <v>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125</v>
      </c>
      <c r="R11" t="s">
        <v>125</v>
      </c>
      <c r="S11" t="s">
        <v>138</v>
      </c>
      <c r="T11">
        <v>34</v>
      </c>
      <c r="U11">
        <v>173</v>
      </c>
      <c r="V11" t="s">
        <v>64</v>
      </c>
      <c r="W11" t="s">
        <v>89</v>
      </c>
      <c r="X11" t="s">
        <v>89</v>
      </c>
      <c r="Y11" t="s">
        <v>89</v>
      </c>
      <c r="Z11" t="s">
        <v>89</v>
      </c>
      <c r="AA11" t="s">
        <v>202</v>
      </c>
      <c r="AB11" t="s">
        <v>210</v>
      </c>
    </row>
    <row r="12" spans="1:28" x14ac:dyDescent="0.25">
      <c r="A12" t="s">
        <v>110</v>
      </c>
      <c r="B12" t="s">
        <v>905</v>
      </c>
      <c r="C12" t="s">
        <v>135</v>
      </c>
      <c r="D12" t="s">
        <v>252</v>
      </c>
      <c r="E12">
        <v>30</v>
      </c>
      <c r="F12">
        <v>28</v>
      </c>
      <c r="G12">
        <v>2.5110000000000001</v>
      </c>
      <c r="H12" t="s">
        <v>344</v>
      </c>
      <c r="I12">
        <v>2</v>
      </c>
      <c r="J12">
        <v>0</v>
      </c>
      <c r="K12" t="s">
        <v>56</v>
      </c>
      <c r="L12" t="s">
        <v>56</v>
      </c>
      <c r="M12" t="s">
        <v>60</v>
      </c>
      <c r="N12" t="s">
        <v>60</v>
      </c>
      <c r="O12" t="s">
        <v>99</v>
      </c>
      <c r="P12" t="s">
        <v>59</v>
      </c>
      <c r="Q12" t="s">
        <v>165</v>
      </c>
      <c r="R12" t="s">
        <v>165</v>
      </c>
      <c r="S12" t="s">
        <v>159</v>
      </c>
      <c r="T12">
        <v>46</v>
      </c>
      <c r="U12">
        <v>148</v>
      </c>
      <c r="V12" t="s">
        <v>218</v>
      </c>
      <c r="W12" t="s">
        <v>91</v>
      </c>
      <c r="X12" t="s">
        <v>89</v>
      </c>
      <c r="Y12" t="s">
        <v>91</v>
      </c>
      <c r="Z12" t="s">
        <v>91</v>
      </c>
      <c r="AA12" t="s">
        <v>91</v>
      </c>
      <c r="AB12" t="s">
        <v>120</v>
      </c>
    </row>
    <row r="13" spans="1:28" x14ac:dyDescent="0.25">
      <c r="A13" t="s">
        <v>75</v>
      </c>
      <c r="B13" t="s">
        <v>903</v>
      </c>
      <c r="C13" t="s">
        <v>77</v>
      </c>
      <c r="D13" t="s">
        <v>57</v>
      </c>
      <c r="E13">
        <v>28</v>
      </c>
      <c r="F13">
        <v>26</v>
      </c>
      <c r="G13">
        <v>2.3279999999999998</v>
      </c>
      <c r="H13" t="s">
        <v>345</v>
      </c>
      <c r="I13">
        <v>4</v>
      </c>
      <c r="J13">
        <v>1</v>
      </c>
      <c r="K13" t="s">
        <v>81</v>
      </c>
      <c r="L13" t="s">
        <v>99</v>
      </c>
      <c r="M13" t="s">
        <v>60</v>
      </c>
      <c r="N13" t="s">
        <v>60</v>
      </c>
      <c r="O13" t="s">
        <v>114</v>
      </c>
      <c r="P13" t="s">
        <v>60</v>
      </c>
      <c r="Q13" t="s">
        <v>172</v>
      </c>
      <c r="R13" t="s">
        <v>172</v>
      </c>
      <c r="S13" t="s">
        <v>125</v>
      </c>
      <c r="T13">
        <v>63</v>
      </c>
      <c r="U13">
        <v>136</v>
      </c>
      <c r="V13" t="s">
        <v>348</v>
      </c>
      <c r="W13" t="s">
        <v>232</v>
      </c>
      <c r="X13" t="s">
        <v>119</v>
      </c>
      <c r="Y13" t="s">
        <v>90</v>
      </c>
      <c r="Z13" t="s">
        <v>232</v>
      </c>
      <c r="AA13" t="s">
        <v>233</v>
      </c>
      <c r="AB13" t="s">
        <v>121</v>
      </c>
    </row>
    <row r="14" spans="1:28" x14ac:dyDescent="0.25">
      <c r="A14" t="s">
        <v>221</v>
      </c>
      <c r="B14" t="s">
        <v>910</v>
      </c>
      <c r="C14" t="s">
        <v>77</v>
      </c>
      <c r="D14" t="s">
        <v>252</v>
      </c>
      <c r="E14">
        <v>29</v>
      </c>
      <c r="F14">
        <v>24</v>
      </c>
      <c r="G14">
        <v>2.0419999999999998</v>
      </c>
      <c r="H14" t="s">
        <v>349</v>
      </c>
      <c r="I14">
        <v>2</v>
      </c>
      <c r="J14">
        <v>2</v>
      </c>
      <c r="K14" t="s">
        <v>99</v>
      </c>
      <c r="L14" t="s">
        <v>56</v>
      </c>
      <c r="M14" t="s">
        <v>60</v>
      </c>
      <c r="N14" t="s">
        <v>60</v>
      </c>
      <c r="O14" t="s">
        <v>60</v>
      </c>
      <c r="P14" t="s">
        <v>60</v>
      </c>
      <c r="Q14" t="s">
        <v>189</v>
      </c>
      <c r="R14" t="s">
        <v>189</v>
      </c>
      <c r="S14" t="s">
        <v>137</v>
      </c>
      <c r="T14">
        <v>24</v>
      </c>
      <c r="U14">
        <v>116</v>
      </c>
      <c r="V14" t="s">
        <v>58</v>
      </c>
      <c r="W14" t="s">
        <v>73</v>
      </c>
      <c r="X14" t="s">
        <v>73</v>
      </c>
      <c r="Y14" t="s">
        <v>193</v>
      </c>
      <c r="Z14" t="s">
        <v>73</v>
      </c>
      <c r="AA14" t="s">
        <v>168</v>
      </c>
      <c r="AB14" t="s">
        <v>202</v>
      </c>
    </row>
    <row r="15" spans="1:28" x14ac:dyDescent="0.25">
      <c r="A15" t="s">
        <v>213</v>
      </c>
      <c r="B15" t="s">
        <v>909</v>
      </c>
      <c r="C15" t="s">
        <v>170</v>
      </c>
      <c r="D15" t="s">
        <v>57</v>
      </c>
      <c r="E15">
        <v>29</v>
      </c>
      <c r="F15">
        <v>18</v>
      </c>
      <c r="G15">
        <v>1.595</v>
      </c>
      <c r="H15" t="s">
        <v>351</v>
      </c>
      <c r="I15">
        <v>3</v>
      </c>
      <c r="J15">
        <v>8</v>
      </c>
      <c r="K15" t="s">
        <v>186</v>
      </c>
      <c r="L15" t="s">
        <v>114</v>
      </c>
      <c r="M15" t="s">
        <v>60</v>
      </c>
      <c r="N15" t="s">
        <v>60</v>
      </c>
      <c r="O15" t="s">
        <v>114</v>
      </c>
      <c r="P15" t="s">
        <v>60</v>
      </c>
      <c r="Q15" t="s">
        <v>189</v>
      </c>
      <c r="R15" t="s">
        <v>189</v>
      </c>
      <c r="S15" t="s">
        <v>146</v>
      </c>
      <c r="T15">
        <v>218</v>
      </c>
      <c r="U15">
        <v>57</v>
      </c>
      <c r="V15" t="s">
        <v>354</v>
      </c>
      <c r="W15" t="s">
        <v>93</v>
      </c>
      <c r="X15" t="s">
        <v>355</v>
      </c>
      <c r="Y15" t="s">
        <v>356</v>
      </c>
      <c r="Z15" t="s">
        <v>93</v>
      </c>
      <c r="AA15" t="s">
        <v>357</v>
      </c>
      <c r="AB15" t="s">
        <v>153</v>
      </c>
    </row>
    <row r="16" spans="1:28" x14ac:dyDescent="0.25">
      <c r="A16" t="s">
        <v>122</v>
      </c>
      <c r="B16" t="s">
        <v>903</v>
      </c>
      <c r="C16" t="s">
        <v>123</v>
      </c>
      <c r="D16" t="s">
        <v>311</v>
      </c>
      <c r="E16">
        <v>30</v>
      </c>
      <c r="F16">
        <v>16</v>
      </c>
      <c r="G16">
        <v>1.5509999999999999</v>
      </c>
      <c r="H16" t="s">
        <v>124</v>
      </c>
      <c r="I16">
        <v>1</v>
      </c>
      <c r="J16">
        <v>0</v>
      </c>
      <c r="K16" t="s">
        <v>59</v>
      </c>
      <c r="L16" t="s">
        <v>59</v>
      </c>
      <c r="M16" t="s">
        <v>60</v>
      </c>
      <c r="N16" t="s">
        <v>60</v>
      </c>
      <c r="O16" t="s">
        <v>99</v>
      </c>
      <c r="P16" t="s">
        <v>60</v>
      </c>
      <c r="Q16" t="s">
        <v>182</v>
      </c>
      <c r="R16" t="s">
        <v>182</v>
      </c>
      <c r="S16" t="s">
        <v>164</v>
      </c>
      <c r="T16">
        <v>37</v>
      </c>
      <c r="U16">
        <v>100</v>
      </c>
      <c r="V16" t="s">
        <v>118</v>
      </c>
      <c r="W16" t="s">
        <v>121</v>
      </c>
      <c r="X16" t="s">
        <v>89</v>
      </c>
      <c r="Y16" t="s">
        <v>121</v>
      </c>
      <c r="Z16" t="s">
        <v>121</v>
      </c>
      <c r="AA16" t="s">
        <v>91</v>
      </c>
      <c r="AB16" t="s">
        <v>73</v>
      </c>
    </row>
    <row r="17" spans="1:28" x14ac:dyDescent="0.25">
      <c r="A17" t="s">
        <v>183</v>
      </c>
      <c r="B17" t="s">
        <v>909</v>
      </c>
      <c r="C17" t="s">
        <v>123</v>
      </c>
      <c r="D17" t="s">
        <v>139</v>
      </c>
      <c r="E17">
        <v>18</v>
      </c>
      <c r="F17">
        <v>15</v>
      </c>
      <c r="G17">
        <v>1.2210000000000001</v>
      </c>
      <c r="H17" t="s">
        <v>358</v>
      </c>
      <c r="I17">
        <v>4</v>
      </c>
      <c r="J17">
        <v>10</v>
      </c>
      <c r="K17" t="s">
        <v>129</v>
      </c>
      <c r="L17" t="s">
        <v>99</v>
      </c>
      <c r="M17" t="s">
        <v>60</v>
      </c>
      <c r="N17" t="s">
        <v>60</v>
      </c>
      <c r="O17" t="s">
        <v>56</v>
      </c>
      <c r="P17" t="s">
        <v>60</v>
      </c>
      <c r="Q17" t="s">
        <v>229</v>
      </c>
      <c r="R17" t="s">
        <v>229</v>
      </c>
      <c r="S17" t="s">
        <v>316</v>
      </c>
      <c r="T17">
        <v>47</v>
      </c>
      <c r="U17">
        <v>111</v>
      </c>
      <c r="V17" t="s">
        <v>359</v>
      </c>
      <c r="W17" t="s">
        <v>131</v>
      </c>
      <c r="X17" t="s">
        <v>360</v>
      </c>
      <c r="Y17" t="s">
        <v>342</v>
      </c>
      <c r="Z17" t="s">
        <v>131</v>
      </c>
      <c r="AA17" t="s">
        <v>193</v>
      </c>
      <c r="AB17" t="s">
        <v>71</v>
      </c>
    </row>
    <row r="18" spans="1:28" x14ac:dyDescent="0.25">
      <c r="A18" t="s">
        <v>235</v>
      </c>
      <c r="B18" t="s">
        <v>906</v>
      </c>
      <c r="C18" t="s">
        <v>135</v>
      </c>
      <c r="D18" t="s">
        <v>311</v>
      </c>
      <c r="E18">
        <v>16</v>
      </c>
      <c r="F18">
        <v>12</v>
      </c>
      <c r="G18">
        <v>1.0640000000000001</v>
      </c>
      <c r="H18" t="s">
        <v>361</v>
      </c>
      <c r="I18">
        <v>1</v>
      </c>
      <c r="J18">
        <v>0</v>
      </c>
      <c r="K18" t="s">
        <v>59</v>
      </c>
      <c r="L18" t="s">
        <v>59</v>
      </c>
      <c r="M18" t="s">
        <v>60</v>
      </c>
      <c r="N18" t="s">
        <v>60</v>
      </c>
      <c r="O18" t="s">
        <v>56</v>
      </c>
      <c r="P18" t="s">
        <v>60</v>
      </c>
      <c r="Q18" t="s">
        <v>249</v>
      </c>
      <c r="R18" t="s">
        <v>249</v>
      </c>
      <c r="S18" t="s">
        <v>225</v>
      </c>
      <c r="T18">
        <v>16</v>
      </c>
      <c r="U18">
        <v>57</v>
      </c>
      <c r="V18" t="s">
        <v>53</v>
      </c>
      <c r="W18" t="s">
        <v>68</v>
      </c>
      <c r="X18" t="s">
        <v>89</v>
      </c>
      <c r="Y18" t="s">
        <v>68</v>
      </c>
      <c r="Z18" t="s">
        <v>68</v>
      </c>
      <c r="AA18" t="s">
        <v>73</v>
      </c>
      <c r="AB18" t="s">
        <v>120</v>
      </c>
    </row>
    <row r="19" spans="1:28" x14ac:dyDescent="0.25">
      <c r="A19" t="s">
        <v>226</v>
      </c>
      <c r="B19" t="s">
        <v>906</v>
      </c>
      <c r="C19" t="s">
        <v>170</v>
      </c>
      <c r="D19" t="s">
        <v>282</v>
      </c>
      <c r="E19">
        <v>20</v>
      </c>
      <c r="F19">
        <v>10</v>
      </c>
      <c r="G19">
        <v>1.0089999999999999</v>
      </c>
      <c r="H19" t="s">
        <v>187</v>
      </c>
      <c r="I19">
        <v>3</v>
      </c>
      <c r="J19">
        <v>1</v>
      </c>
      <c r="K19" t="s">
        <v>99</v>
      </c>
      <c r="L19" t="s">
        <v>114</v>
      </c>
      <c r="M19" t="s">
        <v>60</v>
      </c>
      <c r="N19" t="s">
        <v>60</v>
      </c>
      <c r="O19" t="s">
        <v>100</v>
      </c>
      <c r="P19" t="s">
        <v>60</v>
      </c>
      <c r="Q19" t="s">
        <v>63</v>
      </c>
      <c r="R19" t="s">
        <v>63</v>
      </c>
      <c r="S19" t="s">
        <v>189</v>
      </c>
      <c r="T19">
        <v>87</v>
      </c>
      <c r="U19">
        <v>50</v>
      </c>
      <c r="V19" t="s">
        <v>363</v>
      </c>
      <c r="W19" t="s">
        <v>320</v>
      </c>
      <c r="X19" t="s">
        <v>73</v>
      </c>
      <c r="Y19" t="s">
        <v>234</v>
      </c>
      <c r="Z19" t="s">
        <v>320</v>
      </c>
      <c r="AA19" t="s">
        <v>90</v>
      </c>
      <c r="AB19" t="s">
        <v>88</v>
      </c>
    </row>
    <row r="20" spans="1:28" x14ac:dyDescent="0.25">
      <c r="A20" t="s">
        <v>133</v>
      </c>
      <c r="B20" t="s">
        <v>906</v>
      </c>
      <c r="C20" t="s">
        <v>135</v>
      </c>
      <c r="D20" t="s">
        <v>58</v>
      </c>
      <c r="E20">
        <v>16</v>
      </c>
      <c r="F20">
        <v>8</v>
      </c>
      <c r="G20">
        <v>809</v>
      </c>
      <c r="H20" t="s">
        <v>212</v>
      </c>
      <c r="I20">
        <v>2</v>
      </c>
      <c r="J20">
        <v>0</v>
      </c>
      <c r="K20" t="s">
        <v>56</v>
      </c>
      <c r="L20" t="s">
        <v>56</v>
      </c>
      <c r="M20" t="s">
        <v>60</v>
      </c>
      <c r="N20" t="s">
        <v>60</v>
      </c>
      <c r="O20" t="s">
        <v>59</v>
      </c>
      <c r="P20" t="s">
        <v>60</v>
      </c>
      <c r="Q20" t="s">
        <v>207</v>
      </c>
      <c r="R20" t="s">
        <v>207</v>
      </c>
      <c r="S20" t="s">
        <v>117</v>
      </c>
      <c r="T20">
        <v>21</v>
      </c>
      <c r="U20">
        <v>33</v>
      </c>
      <c r="V20" t="s">
        <v>268</v>
      </c>
      <c r="W20" t="s">
        <v>88</v>
      </c>
      <c r="X20" t="s">
        <v>89</v>
      </c>
      <c r="Y20" t="s">
        <v>88</v>
      </c>
      <c r="Z20" t="s">
        <v>88</v>
      </c>
      <c r="AA20" t="s">
        <v>91</v>
      </c>
      <c r="AB20" t="s">
        <v>233</v>
      </c>
    </row>
    <row r="21" spans="1:28" x14ac:dyDescent="0.25">
      <c r="A21" t="s">
        <v>196</v>
      </c>
      <c r="B21" t="s">
        <v>904</v>
      </c>
      <c r="C21" t="s">
        <v>123</v>
      </c>
      <c r="D21" t="s">
        <v>53</v>
      </c>
      <c r="E21">
        <v>17</v>
      </c>
      <c r="F21">
        <v>7</v>
      </c>
      <c r="G21">
        <v>661</v>
      </c>
      <c r="H21" t="s">
        <v>366</v>
      </c>
      <c r="I21">
        <v>0</v>
      </c>
      <c r="J21">
        <v>2</v>
      </c>
      <c r="K21" t="s">
        <v>56</v>
      </c>
      <c r="L21" t="s">
        <v>60</v>
      </c>
      <c r="M21" t="s">
        <v>60</v>
      </c>
      <c r="N21" t="s">
        <v>60</v>
      </c>
      <c r="O21" t="s">
        <v>60</v>
      </c>
      <c r="P21" t="s">
        <v>60</v>
      </c>
      <c r="Q21" t="s">
        <v>215</v>
      </c>
      <c r="R21" t="s">
        <v>215</v>
      </c>
      <c r="S21" t="s">
        <v>117</v>
      </c>
      <c r="T21">
        <v>28</v>
      </c>
      <c r="U21">
        <v>34</v>
      </c>
      <c r="V21" t="s">
        <v>367</v>
      </c>
      <c r="W21" t="s">
        <v>89</v>
      </c>
      <c r="X21" t="s">
        <v>320</v>
      </c>
      <c r="Y21" t="s">
        <v>320</v>
      </c>
      <c r="Z21" t="s">
        <v>89</v>
      </c>
      <c r="AA21" t="s">
        <v>168</v>
      </c>
      <c r="AB21" t="s">
        <v>232</v>
      </c>
    </row>
    <row r="22" spans="1:28" x14ac:dyDescent="0.25">
      <c r="A22" t="s">
        <v>211</v>
      </c>
      <c r="B22" t="s">
        <v>908</v>
      </c>
      <c r="C22" t="s">
        <v>156</v>
      </c>
      <c r="D22" t="s">
        <v>324</v>
      </c>
      <c r="E22">
        <v>9</v>
      </c>
      <c r="F22">
        <v>5</v>
      </c>
      <c r="G22">
        <v>635</v>
      </c>
      <c r="H22" t="s">
        <v>352</v>
      </c>
      <c r="I22">
        <v>0</v>
      </c>
      <c r="J22">
        <v>0</v>
      </c>
      <c r="K22" t="s">
        <v>60</v>
      </c>
      <c r="L22" t="s">
        <v>60</v>
      </c>
      <c r="M22" t="s">
        <v>60</v>
      </c>
      <c r="N22" t="s">
        <v>60</v>
      </c>
      <c r="O22" t="s">
        <v>60</v>
      </c>
      <c r="P22" t="s">
        <v>60</v>
      </c>
      <c r="Q22" t="s">
        <v>158</v>
      </c>
      <c r="R22" t="s">
        <v>158</v>
      </c>
      <c r="S22" t="s">
        <v>158</v>
      </c>
      <c r="T22">
        <v>0</v>
      </c>
      <c r="U22">
        <v>0</v>
      </c>
      <c r="V22" t="s">
        <v>60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 t="s">
        <v>89</v>
      </c>
    </row>
    <row r="23" spans="1:28" x14ac:dyDescent="0.25">
      <c r="A23" t="s">
        <v>368</v>
      </c>
      <c r="B23" t="s">
        <v>902</v>
      </c>
      <c r="C23" t="s">
        <v>170</v>
      </c>
      <c r="D23" t="s">
        <v>112</v>
      </c>
      <c r="E23">
        <v>14</v>
      </c>
      <c r="F23">
        <v>2</v>
      </c>
      <c r="G23">
        <v>302</v>
      </c>
      <c r="H23" t="s">
        <v>126</v>
      </c>
      <c r="I23">
        <v>1</v>
      </c>
      <c r="J23">
        <v>1</v>
      </c>
      <c r="K23" t="s">
        <v>56</v>
      </c>
      <c r="L23" t="s">
        <v>59</v>
      </c>
      <c r="M23" t="s">
        <v>60</v>
      </c>
      <c r="N23" t="s">
        <v>60</v>
      </c>
      <c r="O23" t="s">
        <v>60</v>
      </c>
      <c r="P23" t="s">
        <v>60</v>
      </c>
      <c r="Q23" t="s">
        <v>125</v>
      </c>
      <c r="R23" t="s">
        <v>125</v>
      </c>
      <c r="S23" t="s">
        <v>137</v>
      </c>
      <c r="T23">
        <v>13</v>
      </c>
      <c r="U23">
        <v>25</v>
      </c>
      <c r="V23" t="s">
        <v>118</v>
      </c>
      <c r="W23" t="s">
        <v>152</v>
      </c>
      <c r="X23" t="s">
        <v>152</v>
      </c>
      <c r="Y23" t="s">
        <v>309</v>
      </c>
      <c r="Z23" t="s">
        <v>152</v>
      </c>
      <c r="AA23" t="s">
        <v>364</v>
      </c>
      <c r="AB23" t="s">
        <v>319</v>
      </c>
    </row>
    <row r="24" spans="1:28" x14ac:dyDescent="0.25">
      <c r="A24" t="s">
        <v>370</v>
      </c>
      <c r="B24" t="s">
        <v>906</v>
      </c>
      <c r="C24" t="s">
        <v>123</v>
      </c>
      <c r="D24" t="s">
        <v>282</v>
      </c>
      <c r="E24">
        <v>4</v>
      </c>
      <c r="F24">
        <v>0</v>
      </c>
      <c r="G24">
        <v>93</v>
      </c>
      <c r="H24" t="s">
        <v>249</v>
      </c>
      <c r="I24">
        <v>0</v>
      </c>
      <c r="J24">
        <v>0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60</v>
      </c>
      <c r="Q24" t="s">
        <v>206</v>
      </c>
      <c r="R24" t="s">
        <v>206</v>
      </c>
      <c r="S24" t="s">
        <v>158</v>
      </c>
      <c r="T24">
        <v>7</v>
      </c>
      <c r="U24">
        <v>7</v>
      </c>
      <c r="V24" t="s">
        <v>114</v>
      </c>
      <c r="W24" t="s">
        <v>89</v>
      </c>
      <c r="X24" t="s">
        <v>89</v>
      </c>
      <c r="Y24" t="s">
        <v>89</v>
      </c>
      <c r="Z24" t="s">
        <v>89</v>
      </c>
      <c r="AA24" t="s">
        <v>91</v>
      </c>
      <c r="AB24" t="s">
        <v>89</v>
      </c>
    </row>
    <row r="25" spans="1:28" x14ac:dyDescent="0.25">
      <c r="A25" t="s">
        <v>371</v>
      </c>
      <c r="B25" t="s">
        <v>912</v>
      </c>
      <c r="C25" t="s">
        <v>170</v>
      </c>
      <c r="D25" t="s">
        <v>79</v>
      </c>
      <c r="E25">
        <v>6</v>
      </c>
      <c r="F25">
        <v>0</v>
      </c>
      <c r="G25">
        <v>53</v>
      </c>
      <c r="H25" t="s">
        <v>207</v>
      </c>
      <c r="I25">
        <v>0</v>
      </c>
      <c r="J25">
        <v>1</v>
      </c>
      <c r="K25" t="s">
        <v>59</v>
      </c>
      <c r="L25" t="s">
        <v>60</v>
      </c>
      <c r="M25" t="s">
        <v>60</v>
      </c>
      <c r="N25" t="s">
        <v>60</v>
      </c>
      <c r="O25" t="s">
        <v>60</v>
      </c>
      <c r="P25" t="s">
        <v>60</v>
      </c>
      <c r="Q25" t="s">
        <v>225</v>
      </c>
      <c r="R25" t="s">
        <v>225</v>
      </c>
      <c r="S25" t="s">
        <v>225</v>
      </c>
      <c r="T25">
        <v>4</v>
      </c>
      <c r="U25">
        <v>2</v>
      </c>
      <c r="V25" t="s">
        <v>99</v>
      </c>
      <c r="W25" t="s">
        <v>89</v>
      </c>
      <c r="X25" t="s">
        <v>372</v>
      </c>
      <c r="Y25" t="s">
        <v>372</v>
      </c>
      <c r="Z25" t="s">
        <v>89</v>
      </c>
      <c r="AA25" t="s">
        <v>364</v>
      </c>
      <c r="AB25" t="s">
        <v>322</v>
      </c>
    </row>
    <row r="26" spans="1:28" x14ac:dyDescent="0.25">
      <c r="A26" t="s">
        <v>373</v>
      </c>
      <c r="B26" t="s">
        <v>912</v>
      </c>
      <c r="C26" t="s">
        <v>77</v>
      </c>
      <c r="D26" t="s">
        <v>311</v>
      </c>
      <c r="E26">
        <v>1</v>
      </c>
      <c r="F26">
        <v>0</v>
      </c>
      <c r="G26">
        <v>12</v>
      </c>
      <c r="H26" t="s">
        <v>206</v>
      </c>
      <c r="I26">
        <v>0</v>
      </c>
      <c r="J26">
        <v>0</v>
      </c>
      <c r="K26" t="s">
        <v>60</v>
      </c>
      <c r="L26" t="s">
        <v>60</v>
      </c>
      <c r="M26" t="s">
        <v>60</v>
      </c>
      <c r="N26" t="s">
        <v>60</v>
      </c>
      <c r="O26" t="s">
        <v>60</v>
      </c>
      <c r="P26" t="s">
        <v>60</v>
      </c>
      <c r="Q26" t="s">
        <v>158</v>
      </c>
      <c r="R26" t="s">
        <v>158</v>
      </c>
      <c r="S26" t="s">
        <v>158</v>
      </c>
      <c r="T26">
        <v>0</v>
      </c>
      <c r="U26">
        <v>0</v>
      </c>
      <c r="V26" t="s">
        <v>60</v>
      </c>
      <c r="W26" t="s">
        <v>89</v>
      </c>
      <c r="X26" t="s">
        <v>89</v>
      </c>
      <c r="Y26" t="s">
        <v>89</v>
      </c>
      <c r="Z26" t="s">
        <v>89</v>
      </c>
      <c r="AA26" t="s">
        <v>320</v>
      </c>
      <c r="AB26" t="s">
        <v>89</v>
      </c>
    </row>
    <row r="27" spans="1:28" x14ac:dyDescent="0.25">
      <c r="A27" t="s">
        <v>374</v>
      </c>
      <c r="B27" t="s">
        <v>906</v>
      </c>
      <c r="C27" t="s">
        <v>123</v>
      </c>
      <c r="D27" t="s">
        <v>57</v>
      </c>
      <c r="E27">
        <v>1</v>
      </c>
      <c r="F27">
        <v>0</v>
      </c>
      <c r="G27">
        <v>11</v>
      </c>
      <c r="H27" t="s">
        <v>206</v>
      </c>
      <c r="I27">
        <v>0</v>
      </c>
      <c r="J27">
        <v>0</v>
      </c>
      <c r="K27" t="s">
        <v>60</v>
      </c>
      <c r="L27" t="s">
        <v>60</v>
      </c>
      <c r="M27" t="s">
        <v>60</v>
      </c>
      <c r="N27" t="s">
        <v>60</v>
      </c>
      <c r="O27" t="s">
        <v>60</v>
      </c>
      <c r="P27" t="s">
        <v>60</v>
      </c>
      <c r="Q27" t="s">
        <v>158</v>
      </c>
      <c r="R27" t="s">
        <v>158</v>
      </c>
      <c r="S27" t="s">
        <v>158</v>
      </c>
      <c r="T27">
        <v>0</v>
      </c>
      <c r="U27">
        <v>0</v>
      </c>
      <c r="V27" t="s">
        <v>60</v>
      </c>
      <c r="W27" t="s">
        <v>89</v>
      </c>
      <c r="X27" t="s">
        <v>89</v>
      </c>
      <c r="Y27" t="s">
        <v>89</v>
      </c>
      <c r="Z27" t="s">
        <v>89</v>
      </c>
      <c r="AA27" t="s">
        <v>89</v>
      </c>
      <c r="AB27" t="s">
        <v>89</v>
      </c>
    </row>
    <row r="28" spans="1:28" x14ac:dyDescent="0.25">
      <c r="A28" t="s">
        <v>248</v>
      </c>
      <c r="B28" t="s">
        <v>906</v>
      </c>
      <c r="C28" t="s">
        <v>123</v>
      </c>
      <c r="D28" t="s">
        <v>112</v>
      </c>
      <c r="E28">
        <v>1</v>
      </c>
      <c r="F28">
        <v>0</v>
      </c>
      <c r="G28">
        <v>1</v>
      </c>
      <c r="H28" t="s">
        <v>158</v>
      </c>
      <c r="I28">
        <v>0</v>
      </c>
      <c r="J28">
        <v>0</v>
      </c>
      <c r="K28" t="s">
        <v>60</v>
      </c>
      <c r="L28" t="s">
        <v>60</v>
      </c>
      <c r="M28" t="s">
        <v>60</v>
      </c>
      <c r="N28" t="s">
        <v>60</v>
      </c>
      <c r="O28" t="s">
        <v>60</v>
      </c>
      <c r="P28" t="s">
        <v>60</v>
      </c>
      <c r="Q28" t="s">
        <v>158</v>
      </c>
      <c r="R28" t="s">
        <v>158</v>
      </c>
      <c r="S28" t="s">
        <v>158</v>
      </c>
      <c r="T28">
        <v>0</v>
      </c>
      <c r="U28">
        <v>0</v>
      </c>
      <c r="V28" t="s">
        <v>60</v>
      </c>
      <c r="W28" t="s">
        <v>89</v>
      </c>
      <c r="X28" t="s">
        <v>89</v>
      </c>
      <c r="Y28" t="s">
        <v>89</v>
      </c>
      <c r="Z28" t="s">
        <v>89</v>
      </c>
      <c r="AA28" t="s">
        <v>89</v>
      </c>
      <c r="AB28" t="s">
        <v>89</v>
      </c>
    </row>
    <row r="29" spans="1:28" x14ac:dyDescent="0.25">
      <c r="A29" t="s">
        <v>256</v>
      </c>
      <c r="B29" t="s">
        <v>906</v>
      </c>
      <c r="C29" t="s">
        <v>156</v>
      </c>
      <c r="D29" t="s">
        <v>148</v>
      </c>
      <c r="E29">
        <v>0</v>
      </c>
      <c r="F29">
        <v>0</v>
      </c>
      <c r="G29" t="s">
        <v>30</v>
      </c>
      <c r="H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</row>
    <row r="30" spans="1:28" x14ac:dyDescent="0.25">
      <c r="A30" t="s">
        <v>375</v>
      </c>
      <c r="B30" t="s">
        <v>906</v>
      </c>
      <c r="C30" t="s">
        <v>123</v>
      </c>
      <c r="D30" t="s">
        <v>55</v>
      </c>
      <c r="E30">
        <v>0</v>
      </c>
      <c r="F30">
        <v>0</v>
      </c>
      <c r="G30" t="s">
        <v>30</v>
      </c>
      <c r="H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V30" t="s">
        <v>30</v>
      </c>
      <c r="W30" t="s">
        <v>30</v>
      </c>
      <c r="X30" t="s">
        <v>30</v>
      </c>
      <c r="Y30" t="s">
        <v>30</v>
      </c>
      <c r="Z30" t="s">
        <v>30</v>
      </c>
      <c r="AA30" t="s">
        <v>30</v>
      </c>
      <c r="AB30" t="s">
        <v>30</v>
      </c>
    </row>
    <row r="31" spans="1:28" x14ac:dyDescent="0.25">
      <c r="A31" t="s">
        <v>376</v>
      </c>
      <c r="B31" t="s">
        <v>925</v>
      </c>
      <c r="C31" t="s">
        <v>123</v>
      </c>
      <c r="D31" t="s">
        <v>112</v>
      </c>
      <c r="E31">
        <v>0</v>
      </c>
      <c r="F31">
        <v>0</v>
      </c>
      <c r="G31" t="s">
        <v>30</v>
      </c>
      <c r="H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30</v>
      </c>
      <c r="AA31" t="s">
        <v>30</v>
      </c>
      <c r="AB31" t="s">
        <v>30</v>
      </c>
    </row>
    <row r="32" spans="1:28" x14ac:dyDescent="0.25">
      <c r="A32" t="s">
        <v>377</v>
      </c>
      <c r="B32" t="s">
        <v>912</v>
      </c>
      <c r="C32" t="s">
        <v>77</v>
      </c>
      <c r="D32" t="s">
        <v>58</v>
      </c>
      <c r="E32">
        <v>0</v>
      </c>
      <c r="F32">
        <v>0</v>
      </c>
      <c r="G32" t="s">
        <v>30</v>
      </c>
      <c r="H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V32" t="s">
        <v>30</v>
      </c>
      <c r="W32" t="s">
        <v>30</v>
      </c>
      <c r="X32" t="s">
        <v>30</v>
      </c>
      <c r="Y32" t="s">
        <v>30</v>
      </c>
      <c r="Z32" t="s">
        <v>30</v>
      </c>
      <c r="AA32" t="s">
        <v>30</v>
      </c>
      <c r="AB32" t="s">
        <v>30</v>
      </c>
    </row>
    <row r="33" spans="1:28" x14ac:dyDescent="0.25">
      <c r="A33" t="s">
        <v>260</v>
      </c>
      <c r="B33" t="s">
        <v>906</v>
      </c>
      <c r="C33" t="s">
        <v>123</v>
      </c>
      <c r="D33" t="s">
        <v>185</v>
      </c>
      <c r="E33">
        <v>0</v>
      </c>
      <c r="F33">
        <v>0</v>
      </c>
      <c r="G33" t="s">
        <v>30</v>
      </c>
      <c r="H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</row>
    <row r="34" spans="1:28" x14ac:dyDescent="0.25">
      <c r="A34" t="s">
        <v>261</v>
      </c>
      <c r="B34" t="s">
        <v>30</v>
      </c>
      <c r="C34" t="s">
        <v>30</v>
      </c>
      <c r="D34" t="s">
        <v>378</v>
      </c>
      <c r="E34">
        <v>38</v>
      </c>
      <c r="F34">
        <v>418</v>
      </c>
      <c r="G34" t="s">
        <v>379</v>
      </c>
      <c r="H34" t="s">
        <v>380</v>
      </c>
      <c r="I34">
        <v>94</v>
      </c>
      <c r="J34">
        <v>69</v>
      </c>
      <c r="K34" t="s">
        <v>86</v>
      </c>
      <c r="L34" t="s">
        <v>381</v>
      </c>
      <c r="M34" t="s">
        <v>145</v>
      </c>
      <c r="N34" t="s">
        <v>197</v>
      </c>
      <c r="O34" t="s">
        <v>247</v>
      </c>
      <c r="P34" t="s">
        <v>56</v>
      </c>
      <c r="Q34" t="s">
        <v>382</v>
      </c>
      <c r="R34" t="s">
        <v>383</v>
      </c>
      <c r="S34" t="s">
        <v>384</v>
      </c>
      <c r="T34">
        <v>1127</v>
      </c>
      <c r="U34">
        <v>2060</v>
      </c>
      <c r="V34" t="s">
        <v>386</v>
      </c>
      <c r="W34" t="s">
        <v>387</v>
      </c>
      <c r="X34" t="s">
        <v>388</v>
      </c>
      <c r="Y34" t="s">
        <v>389</v>
      </c>
      <c r="Z34" t="s">
        <v>390</v>
      </c>
      <c r="AA34" t="s">
        <v>391</v>
      </c>
      <c r="AB34" t="s">
        <v>392</v>
      </c>
    </row>
    <row r="35" spans="1:28" x14ac:dyDescent="0.25">
      <c r="A35" t="s">
        <v>280</v>
      </c>
      <c r="B35" t="s">
        <v>30</v>
      </c>
      <c r="C35" t="s">
        <v>30</v>
      </c>
      <c r="D35" t="s">
        <v>393</v>
      </c>
      <c r="E35">
        <v>38</v>
      </c>
      <c r="F35">
        <v>418</v>
      </c>
      <c r="G35" t="s">
        <v>379</v>
      </c>
      <c r="H35" t="s">
        <v>380</v>
      </c>
      <c r="I35">
        <v>33</v>
      </c>
      <c r="J35">
        <v>23</v>
      </c>
      <c r="K35" t="s">
        <v>85</v>
      </c>
      <c r="L35" t="s">
        <v>324</v>
      </c>
      <c r="M35" t="s">
        <v>114</v>
      </c>
      <c r="N35" t="s">
        <v>114</v>
      </c>
      <c r="O35" t="s">
        <v>306</v>
      </c>
      <c r="P35" t="s">
        <v>56</v>
      </c>
      <c r="Q35" t="s">
        <v>394</v>
      </c>
      <c r="R35" t="s">
        <v>395</v>
      </c>
      <c r="S35" t="s">
        <v>393</v>
      </c>
      <c r="T35">
        <v>470</v>
      </c>
      <c r="U35">
        <v>824</v>
      </c>
      <c r="V35" t="s">
        <v>397</v>
      </c>
      <c r="W35" t="s">
        <v>398</v>
      </c>
      <c r="X35" t="s">
        <v>323</v>
      </c>
      <c r="Y35" t="s">
        <v>399</v>
      </c>
      <c r="Z35" t="s">
        <v>74</v>
      </c>
      <c r="AA35" t="s">
        <v>400</v>
      </c>
      <c r="AB35" t="s">
        <v>401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7D45-E723-4F72-BF9F-0A56C62E7984}">
  <dimension ref="A1:P37"/>
  <sheetViews>
    <sheetView topLeftCell="H1" workbookViewId="0">
      <selection activeCell="P4" sqref="P4"/>
    </sheetView>
  </sheetViews>
  <sheetFormatPr defaultRowHeight="15" x14ac:dyDescent="0.25"/>
  <cols>
    <col min="1" max="1" width="21.85546875" bestFit="1" customWidth="1"/>
    <col min="2" max="2" width="15.42578125" bestFit="1" customWidth="1"/>
    <col min="3" max="3" width="13.140625" bestFit="1" customWidth="1"/>
    <col min="4" max="4" width="11" bestFit="1" customWidth="1"/>
    <col min="5" max="5" width="12.85546875" bestFit="1" customWidth="1"/>
    <col min="6" max="6" width="14.28515625" bestFit="1" customWidth="1"/>
    <col min="7" max="7" width="15.42578125" bestFit="1" customWidth="1"/>
    <col min="8" max="8" width="20.7109375" bestFit="1" customWidth="1"/>
    <col min="9" max="9" width="17.85546875" bestFit="1" customWidth="1"/>
    <col min="10" max="10" width="17.5703125" bestFit="1" customWidth="1"/>
    <col min="12" max="12" width="18.28515625" customWidth="1"/>
    <col min="13" max="13" width="10.140625" customWidth="1"/>
    <col min="14" max="14" width="9.5703125" bestFit="1" customWidth="1"/>
    <col min="15" max="15" width="9.85546875" customWidth="1"/>
    <col min="16" max="16" width="9.5703125" bestFit="1" customWidth="1"/>
  </cols>
  <sheetData>
    <row r="1" spans="1:16" x14ac:dyDescent="0.25">
      <c r="A1" s="9" t="s">
        <v>38</v>
      </c>
      <c r="B1" t="s">
        <v>928</v>
      </c>
      <c r="F1" s="13" t="s">
        <v>935</v>
      </c>
    </row>
    <row r="3" spans="1:16" x14ac:dyDescent="0.25">
      <c r="A3" s="9" t="s">
        <v>926</v>
      </c>
      <c r="B3" t="s">
        <v>929</v>
      </c>
      <c r="C3" t="s">
        <v>930</v>
      </c>
      <c r="D3" t="s">
        <v>931</v>
      </c>
      <c r="E3" t="s">
        <v>932</v>
      </c>
      <c r="F3" t="s">
        <v>933</v>
      </c>
      <c r="G3" t="s">
        <v>934</v>
      </c>
      <c r="H3" t="s">
        <v>940</v>
      </c>
      <c r="I3" t="s">
        <v>949</v>
      </c>
      <c r="J3" t="s">
        <v>950</v>
      </c>
      <c r="L3" t="s">
        <v>936</v>
      </c>
      <c r="M3" t="s">
        <v>937</v>
      </c>
      <c r="N3">
        <v>24</v>
      </c>
    </row>
    <row r="4" spans="1:16" x14ac:dyDescent="0.25">
      <c r="A4" s="6" t="s">
        <v>50</v>
      </c>
      <c r="B4">
        <v>24</v>
      </c>
      <c r="C4">
        <v>24</v>
      </c>
      <c r="D4">
        <v>2.1240000000000001</v>
      </c>
      <c r="E4">
        <v>19</v>
      </c>
      <c r="F4">
        <v>2</v>
      </c>
      <c r="G4">
        <v>21</v>
      </c>
      <c r="H4" s="7">
        <v>0.79166666666666663</v>
      </c>
      <c r="I4">
        <v>16</v>
      </c>
      <c r="J4">
        <v>15</v>
      </c>
      <c r="L4" t="s">
        <v>938</v>
      </c>
      <c r="M4" t="s">
        <v>937</v>
      </c>
      <c r="N4">
        <v>24</v>
      </c>
    </row>
    <row r="5" spans="1:16" x14ac:dyDescent="0.25">
      <c r="A5" s="12" t="s">
        <v>142</v>
      </c>
      <c r="B5">
        <v>19</v>
      </c>
      <c r="C5">
        <v>15</v>
      </c>
      <c r="D5">
        <v>1.3640000000000001</v>
      </c>
      <c r="E5">
        <v>7</v>
      </c>
      <c r="F5">
        <v>2</v>
      </c>
      <c r="G5">
        <v>9</v>
      </c>
      <c r="H5" s="7">
        <v>0.36842105263157893</v>
      </c>
      <c r="I5">
        <v>37</v>
      </c>
      <c r="J5">
        <v>81</v>
      </c>
      <c r="L5" t="s">
        <v>939</v>
      </c>
      <c r="M5" t="s">
        <v>937</v>
      </c>
      <c r="N5">
        <v>2124</v>
      </c>
    </row>
    <row r="6" spans="1:16" x14ac:dyDescent="0.25">
      <c r="A6" s="6" t="s">
        <v>75</v>
      </c>
      <c r="B6">
        <v>23</v>
      </c>
      <c r="C6">
        <v>22</v>
      </c>
      <c r="D6">
        <v>2.0219999999999998</v>
      </c>
      <c r="E6">
        <v>5</v>
      </c>
      <c r="F6">
        <v>0</v>
      </c>
      <c r="G6">
        <v>5</v>
      </c>
      <c r="H6" s="7">
        <v>0.21739130434782608</v>
      </c>
      <c r="I6">
        <v>56</v>
      </c>
      <c r="J6">
        <v>163</v>
      </c>
      <c r="L6" t="s">
        <v>943</v>
      </c>
      <c r="N6">
        <v>24</v>
      </c>
    </row>
    <row r="7" spans="1:16" x14ac:dyDescent="0.25">
      <c r="A7" s="6" t="s">
        <v>122</v>
      </c>
      <c r="B7">
        <v>20</v>
      </c>
      <c r="C7">
        <v>18</v>
      </c>
      <c r="D7">
        <v>1.5449999999999999</v>
      </c>
      <c r="E7">
        <v>4</v>
      </c>
      <c r="F7">
        <v>1</v>
      </c>
      <c r="G7">
        <v>5</v>
      </c>
      <c r="H7" s="7">
        <v>0.2</v>
      </c>
      <c r="I7">
        <v>43</v>
      </c>
      <c r="J7">
        <v>109</v>
      </c>
      <c r="L7" t="s">
        <v>941</v>
      </c>
      <c r="N7">
        <v>48</v>
      </c>
    </row>
    <row r="8" spans="1:16" x14ac:dyDescent="0.25">
      <c r="A8" s="6" t="s">
        <v>213</v>
      </c>
      <c r="B8">
        <v>15</v>
      </c>
      <c r="C8">
        <v>9</v>
      </c>
      <c r="D8">
        <v>789</v>
      </c>
      <c r="E8">
        <v>3</v>
      </c>
      <c r="F8">
        <v>4</v>
      </c>
      <c r="G8">
        <v>7</v>
      </c>
      <c r="H8" s="7">
        <v>0.2</v>
      </c>
      <c r="I8">
        <v>104</v>
      </c>
      <c r="J8">
        <v>36</v>
      </c>
      <c r="L8" t="s">
        <v>942</v>
      </c>
      <c r="N8">
        <v>35</v>
      </c>
    </row>
    <row r="9" spans="1:16" x14ac:dyDescent="0.25">
      <c r="A9" s="6" t="s">
        <v>235</v>
      </c>
      <c r="B9">
        <v>10</v>
      </c>
      <c r="C9">
        <v>5</v>
      </c>
      <c r="D9">
        <v>458</v>
      </c>
      <c r="E9">
        <v>2</v>
      </c>
      <c r="F9">
        <v>0</v>
      </c>
      <c r="G9">
        <v>2</v>
      </c>
      <c r="H9" s="7">
        <v>0.2</v>
      </c>
      <c r="I9">
        <v>10</v>
      </c>
      <c r="J9">
        <v>20</v>
      </c>
      <c r="L9" t="s">
        <v>944</v>
      </c>
      <c r="N9">
        <f>N7/N6</f>
        <v>2</v>
      </c>
    </row>
    <row r="10" spans="1:16" x14ac:dyDescent="0.25">
      <c r="A10" s="6" t="s">
        <v>95</v>
      </c>
      <c r="B10">
        <v>23</v>
      </c>
      <c r="C10">
        <v>21</v>
      </c>
      <c r="D10">
        <v>1.9159999999999999</v>
      </c>
      <c r="E10">
        <v>2</v>
      </c>
      <c r="F10">
        <v>4</v>
      </c>
      <c r="G10">
        <v>6</v>
      </c>
      <c r="H10" s="7">
        <v>8.6956521739130432E-2</v>
      </c>
      <c r="I10">
        <v>77</v>
      </c>
      <c r="J10">
        <v>89</v>
      </c>
      <c r="L10" t="s">
        <v>945</v>
      </c>
      <c r="N10" s="7">
        <f>N8/N6</f>
        <v>1.4583333333333333</v>
      </c>
    </row>
    <row r="11" spans="1:16" x14ac:dyDescent="0.25">
      <c r="A11" s="6" t="s">
        <v>183</v>
      </c>
      <c r="B11">
        <v>17</v>
      </c>
      <c r="C11">
        <v>11</v>
      </c>
      <c r="D11">
        <v>1.0109999999999999</v>
      </c>
      <c r="E11">
        <v>2</v>
      </c>
      <c r="F11">
        <v>6</v>
      </c>
      <c r="G11">
        <v>8</v>
      </c>
      <c r="H11" s="7">
        <v>0.11764705882352941</v>
      </c>
      <c r="I11">
        <v>35</v>
      </c>
      <c r="J11">
        <v>106</v>
      </c>
      <c r="L11" t="s">
        <v>973</v>
      </c>
      <c r="M11" t="s">
        <v>937</v>
      </c>
      <c r="N11">
        <v>19</v>
      </c>
      <c r="O11" t="s">
        <v>968</v>
      </c>
      <c r="P11" s="7">
        <f>N11/N6</f>
        <v>0.79166666666666663</v>
      </c>
    </row>
    <row r="12" spans="1:16" x14ac:dyDescent="0.25">
      <c r="A12" s="6" t="s">
        <v>248</v>
      </c>
      <c r="B12">
        <v>7</v>
      </c>
      <c r="C12">
        <v>0</v>
      </c>
      <c r="D12">
        <v>89</v>
      </c>
      <c r="E12">
        <v>1</v>
      </c>
      <c r="F12">
        <v>0</v>
      </c>
      <c r="G12">
        <v>1</v>
      </c>
      <c r="H12" s="7">
        <v>0.14285714285714285</v>
      </c>
      <c r="I12">
        <v>3</v>
      </c>
      <c r="J12">
        <v>3</v>
      </c>
      <c r="M12" t="s">
        <v>965</v>
      </c>
      <c r="N12">
        <v>7</v>
      </c>
      <c r="P12" s="7">
        <f>N12/N6</f>
        <v>0.29166666666666669</v>
      </c>
    </row>
    <row r="13" spans="1:16" x14ac:dyDescent="0.25">
      <c r="A13" s="6" t="s">
        <v>133</v>
      </c>
      <c r="B13">
        <v>19</v>
      </c>
      <c r="C13">
        <v>16</v>
      </c>
      <c r="D13">
        <v>1.4019999999999999</v>
      </c>
      <c r="E13">
        <v>1</v>
      </c>
      <c r="F13">
        <v>2</v>
      </c>
      <c r="G13">
        <v>3</v>
      </c>
      <c r="H13" s="7">
        <v>5.2631578947368418E-2</v>
      </c>
      <c r="I13">
        <v>32</v>
      </c>
      <c r="J13">
        <v>80</v>
      </c>
      <c r="L13" t="s">
        <v>946</v>
      </c>
      <c r="M13" t="s">
        <v>947</v>
      </c>
      <c r="N13">
        <v>6</v>
      </c>
      <c r="O13" t="s">
        <v>969</v>
      </c>
      <c r="P13">
        <f>N13/N6</f>
        <v>0.25</v>
      </c>
    </row>
    <row r="14" spans="1:16" x14ac:dyDescent="0.25">
      <c r="A14" s="6" t="s">
        <v>169</v>
      </c>
      <c r="B14">
        <v>19</v>
      </c>
      <c r="C14">
        <v>14</v>
      </c>
      <c r="D14">
        <v>1.17</v>
      </c>
      <c r="E14">
        <v>1</v>
      </c>
      <c r="F14">
        <v>6</v>
      </c>
      <c r="G14">
        <v>7</v>
      </c>
      <c r="H14" s="7">
        <v>5.2631578947368418E-2</v>
      </c>
      <c r="I14">
        <v>94</v>
      </c>
      <c r="J14">
        <v>52</v>
      </c>
      <c r="M14" t="s">
        <v>948</v>
      </c>
      <c r="N14">
        <v>6</v>
      </c>
      <c r="P14">
        <f>N14/N6</f>
        <v>0.25</v>
      </c>
    </row>
    <row r="15" spans="1:16" x14ac:dyDescent="0.25">
      <c r="A15" s="6" t="s">
        <v>242</v>
      </c>
      <c r="B15">
        <v>2</v>
      </c>
      <c r="C15">
        <v>1</v>
      </c>
      <c r="D15">
        <v>65</v>
      </c>
      <c r="E15">
        <v>0</v>
      </c>
      <c r="F15">
        <v>0</v>
      </c>
      <c r="G15">
        <v>0</v>
      </c>
      <c r="H15" s="7">
        <v>0</v>
      </c>
      <c r="I15">
        <v>0</v>
      </c>
      <c r="J15">
        <v>4</v>
      </c>
      <c r="L15" t="s">
        <v>953</v>
      </c>
      <c r="M15" t="s">
        <v>951</v>
      </c>
      <c r="N15">
        <v>104</v>
      </c>
      <c r="O15" t="s">
        <v>969</v>
      </c>
      <c r="P15" s="7">
        <f>N15/N8</f>
        <v>2.9714285714285715</v>
      </c>
    </row>
    <row r="16" spans="1:16" x14ac:dyDescent="0.25">
      <c r="A16" s="6" t="s">
        <v>253</v>
      </c>
      <c r="B16">
        <v>1</v>
      </c>
      <c r="C16">
        <v>0</v>
      </c>
      <c r="D16">
        <v>19</v>
      </c>
      <c r="E16">
        <v>0</v>
      </c>
      <c r="F16">
        <v>0</v>
      </c>
      <c r="G16">
        <v>0</v>
      </c>
      <c r="H16" s="7">
        <v>0</v>
      </c>
      <c r="I16">
        <v>1</v>
      </c>
      <c r="J16">
        <v>0</v>
      </c>
      <c r="M16" t="s">
        <v>947</v>
      </c>
      <c r="N16">
        <v>94</v>
      </c>
    </row>
    <row r="17" spans="1:16" x14ac:dyDescent="0.25">
      <c r="A17" s="6" t="s">
        <v>196</v>
      </c>
      <c r="B17">
        <v>16</v>
      </c>
      <c r="C17">
        <v>10</v>
      </c>
      <c r="D17">
        <v>890</v>
      </c>
      <c r="E17">
        <v>0</v>
      </c>
      <c r="F17">
        <v>4</v>
      </c>
      <c r="G17">
        <v>4</v>
      </c>
      <c r="H17" s="7">
        <v>0</v>
      </c>
      <c r="I17">
        <v>39</v>
      </c>
      <c r="J17">
        <v>34</v>
      </c>
      <c r="L17" t="s">
        <v>952</v>
      </c>
      <c r="M17" t="s">
        <v>954</v>
      </c>
      <c r="N17">
        <v>163</v>
      </c>
      <c r="P17" s="7">
        <f>N17/N8</f>
        <v>4.6571428571428575</v>
      </c>
    </row>
    <row r="18" spans="1:16" x14ac:dyDescent="0.25">
      <c r="A18" s="6" t="s">
        <v>251</v>
      </c>
      <c r="B18">
        <v>1</v>
      </c>
      <c r="C18">
        <v>0</v>
      </c>
      <c r="D18">
        <v>28</v>
      </c>
      <c r="E18">
        <v>0</v>
      </c>
      <c r="F18">
        <v>0</v>
      </c>
      <c r="G18">
        <v>0</v>
      </c>
      <c r="H18" s="7">
        <v>0</v>
      </c>
      <c r="I18">
        <v>0</v>
      </c>
      <c r="J18">
        <v>1</v>
      </c>
      <c r="M18" t="s">
        <v>955</v>
      </c>
      <c r="N18">
        <v>135</v>
      </c>
      <c r="P18" s="7">
        <f>N18/N8</f>
        <v>3.8571428571428572</v>
      </c>
    </row>
    <row r="19" spans="1:16" x14ac:dyDescent="0.25">
      <c r="A19" s="6" t="s">
        <v>226</v>
      </c>
      <c r="B19">
        <v>15</v>
      </c>
      <c r="C19">
        <v>6</v>
      </c>
      <c r="D19">
        <v>608</v>
      </c>
      <c r="E19">
        <v>0</v>
      </c>
      <c r="F19">
        <v>1</v>
      </c>
      <c r="G19">
        <v>1</v>
      </c>
      <c r="H19" s="7">
        <v>0</v>
      </c>
      <c r="I19">
        <v>66</v>
      </c>
      <c r="J19">
        <v>43</v>
      </c>
    </row>
    <row r="20" spans="1:16" x14ac:dyDescent="0.25">
      <c r="A20" s="6" t="s">
        <v>259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7" t="e">
        <v>#DIV/0!</v>
      </c>
    </row>
    <row r="21" spans="1:16" x14ac:dyDescent="0.25">
      <c r="A21" s="6" t="s">
        <v>255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7" t="e">
        <v>#DIV/0!</v>
      </c>
      <c r="L21" s="1" t="s">
        <v>956</v>
      </c>
    </row>
    <row r="22" spans="1:16" x14ac:dyDescent="0.25">
      <c r="A22" s="6" t="s">
        <v>257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7" t="e">
        <v>#DIV/0!</v>
      </c>
      <c r="L22" t="s">
        <v>960</v>
      </c>
      <c r="M22">
        <v>10</v>
      </c>
    </row>
    <row r="23" spans="1:16" x14ac:dyDescent="0.25">
      <c r="A23" s="6" t="s">
        <v>221</v>
      </c>
      <c r="B23">
        <v>9</v>
      </c>
      <c r="C23">
        <v>7</v>
      </c>
      <c r="D23">
        <v>602</v>
      </c>
      <c r="E23">
        <v>0</v>
      </c>
      <c r="F23">
        <v>0</v>
      </c>
      <c r="G23">
        <v>0</v>
      </c>
      <c r="H23" s="7">
        <v>0</v>
      </c>
      <c r="I23">
        <v>11</v>
      </c>
      <c r="J23">
        <v>39</v>
      </c>
      <c r="L23" t="s">
        <v>959</v>
      </c>
      <c r="M23">
        <v>9</v>
      </c>
    </row>
    <row r="24" spans="1:16" x14ac:dyDescent="0.25">
      <c r="A24" s="6" t="s">
        <v>258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7" t="e">
        <v>#DIV/0!</v>
      </c>
      <c r="L24" s="2" t="s">
        <v>958</v>
      </c>
      <c r="M24" s="2">
        <v>3</v>
      </c>
    </row>
    <row r="25" spans="1:16" x14ac:dyDescent="0.25">
      <c r="A25" s="6" t="s">
        <v>238</v>
      </c>
      <c r="B25">
        <v>2</v>
      </c>
      <c r="C25">
        <v>2</v>
      </c>
      <c r="D25">
        <v>144</v>
      </c>
      <c r="E25">
        <v>0</v>
      </c>
      <c r="F25">
        <v>0</v>
      </c>
      <c r="G25">
        <v>0</v>
      </c>
      <c r="H25" s="7">
        <v>0</v>
      </c>
      <c r="I25">
        <v>4</v>
      </c>
      <c r="J25">
        <v>3</v>
      </c>
      <c r="L25" s="11" t="s">
        <v>957</v>
      </c>
      <c r="M25">
        <v>3</v>
      </c>
    </row>
    <row r="26" spans="1:16" x14ac:dyDescent="0.25">
      <c r="A26" s="6" t="s">
        <v>245</v>
      </c>
      <c r="B26">
        <v>1</v>
      </c>
      <c r="C26">
        <v>1</v>
      </c>
      <c r="D26">
        <v>53</v>
      </c>
      <c r="E26">
        <v>0</v>
      </c>
      <c r="F26">
        <v>0</v>
      </c>
      <c r="G26">
        <v>0</v>
      </c>
      <c r="H26" s="7">
        <v>0</v>
      </c>
      <c r="I26">
        <v>0</v>
      </c>
      <c r="J26">
        <v>2</v>
      </c>
    </row>
    <row r="27" spans="1:16" x14ac:dyDescent="0.25">
      <c r="A27" s="6" t="s">
        <v>241</v>
      </c>
      <c r="B27">
        <v>2</v>
      </c>
      <c r="C27">
        <v>1</v>
      </c>
      <c r="D27">
        <v>96</v>
      </c>
      <c r="E27">
        <v>0</v>
      </c>
      <c r="F27">
        <v>0</v>
      </c>
      <c r="G27">
        <v>0</v>
      </c>
      <c r="H27" s="7">
        <v>0</v>
      </c>
      <c r="I27">
        <v>1</v>
      </c>
      <c r="J27">
        <v>3</v>
      </c>
    </row>
    <row r="28" spans="1:16" x14ac:dyDescent="0.25">
      <c r="A28" s="6" t="s">
        <v>179</v>
      </c>
      <c r="B28">
        <v>14</v>
      </c>
      <c r="C28">
        <v>13</v>
      </c>
      <c r="D28">
        <v>1.177</v>
      </c>
      <c r="E28">
        <v>0</v>
      </c>
      <c r="F28">
        <v>0</v>
      </c>
      <c r="G28">
        <v>0</v>
      </c>
      <c r="H28" s="7">
        <v>0</v>
      </c>
      <c r="I28">
        <v>19</v>
      </c>
      <c r="J28">
        <v>78</v>
      </c>
      <c r="L28" t="s">
        <v>45</v>
      </c>
      <c r="M28" t="s">
        <v>269</v>
      </c>
    </row>
    <row r="29" spans="1:16" x14ac:dyDescent="0.25">
      <c r="A29" s="6" t="s">
        <v>154</v>
      </c>
      <c r="B29">
        <v>15</v>
      </c>
      <c r="C29">
        <v>15</v>
      </c>
      <c r="D29">
        <v>1.35</v>
      </c>
      <c r="E29">
        <v>0</v>
      </c>
      <c r="F29">
        <v>2</v>
      </c>
      <c r="G29">
        <v>2</v>
      </c>
      <c r="H29" s="7">
        <v>0</v>
      </c>
      <c r="I29">
        <v>0</v>
      </c>
      <c r="J29">
        <v>1</v>
      </c>
      <c r="L29" s="2" t="s">
        <v>972</v>
      </c>
      <c r="M29" s="2" t="s">
        <v>286</v>
      </c>
    </row>
    <row r="30" spans="1:16" x14ac:dyDescent="0.25">
      <c r="A30" s="6" t="s">
        <v>256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7" t="e">
        <v>#DIV/0!</v>
      </c>
    </row>
    <row r="31" spans="1:16" x14ac:dyDescent="0.25">
      <c r="A31" s="6" t="s">
        <v>254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7" t="e">
        <v>#DIV/0!</v>
      </c>
    </row>
    <row r="32" spans="1:16" x14ac:dyDescent="0.25">
      <c r="A32" s="6" t="s">
        <v>211</v>
      </c>
      <c r="B32">
        <v>9</v>
      </c>
      <c r="C32">
        <v>9</v>
      </c>
      <c r="D32">
        <v>810</v>
      </c>
      <c r="E32">
        <v>0</v>
      </c>
      <c r="F32">
        <v>0</v>
      </c>
      <c r="G32">
        <v>0</v>
      </c>
      <c r="H32" s="7">
        <v>0</v>
      </c>
      <c r="I32">
        <v>0</v>
      </c>
      <c r="J32">
        <v>0</v>
      </c>
    </row>
    <row r="33" spans="1:10" x14ac:dyDescent="0.25">
      <c r="A33" s="6" t="s">
        <v>110</v>
      </c>
      <c r="B33">
        <v>20</v>
      </c>
      <c r="C33">
        <v>20</v>
      </c>
      <c r="D33">
        <v>1.7070000000000001</v>
      </c>
      <c r="E33">
        <v>0</v>
      </c>
      <c r="F33">
        <v>0</v>
      </c>
      <c r="G33">
        <v>0</v>
      </c>
      <c r="H33" s="7">
        <v>0</v>
      </c>
      <c r="I33">
        <v>38</v>
      </c>
      <c r="J33">
        <v>135</v>
      </c>
    </row>
    <row r="34" spans="1:10" x14ac:dyDescent="0.25">
      <c r="A34" s="6" t="s">
        <v>260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7" t="e">
        <v>#DIV/0!</v>
      </c>
    </row>
    <row r="35" spans="1:10" x14ac:dyDescent="0.25">
      <c r="A35" s="6" t="s">
        <v>161</v>
      </c>
      <c r="B35">
        <v>21</v>
      </c>
      <c r="C35">
        <v>15</v>
      </c>
      <c r="D35">
        <v>1.3440000000000001</v>
      </c>
      <c r="E35">
        <v>0</v>
      </c>
      <c r="F35">
        <v>1</v>
      </c>
      <c r="G35">
        <v>1</v>
      </c>
      <c r="H35" s="7">
        <v>0</v>
      </c>
      <c r="I35">
        <v>37</v>
      </c>
      <c r="J35">
        <v>87</v>
      </c>
    </row>
    <row r="36" spans="1:10" x14ac:dyDescent="0.25">
      <c r="A36" s="6" t="s">
        <v>204</v>
      </c>
      <c r="B36">
        <v>15</v>
      </c>
      <c r="C36">
        <v>9</v>
      </c>
      <c r="D36">
        <v>970</v>
      </c>
      <c r="E36">
        <v>0</v>
      </c>
      <c r="F36">
        <v>0</v>
      </c>
      <c r="G36">
        <v>0</v>
      </c>
      <c r="H36" s="7">
        <v>0</v>
      </c>
      <c r="I36">
        <v>12</v>
      </c>
      <c r="J36">
        <v>64</v>
      </c>
    </row>
    <row r="37" spans="1:10" x14ac:dyDescent="0.25">
      <c r="A37" s="6" t="s">
        <v>927</v>
      </c>
      <c r="B37">
        <v>339</v>
      </c>
      <c r="C37">
        <v>264</v>
      </c>
      <c r="D37">
        <v>5639.1319999999996</v>
      </c>
      <c r="E37">
        <v>47</v>
      </c>
      <c r="F37">
        <v>35</v>
      </c>
      <c r="G37">
        <v>82</v>
      </c>
      <c r="H37" s="7">
        <v>0.13864306784660768</v>
      </c>
      <c r="I37">
        <v>735</v>
      </c>
      <c r="J37">
        <v>1248</v>
      </c>
    </row>
  </sheetData>
  <pageMargins left="0.7" right="0.7" top="0.75" bottom="0.75" header="0.3" footer="0.3"/>
  <ignoredErrors>
    <ignoredError sqref="P1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2CEF-926F-42AE-AB53-C23505DCEAED}">
  <dimension ref="A1:P34"/>
  <sheetViews>
    <sheetView workbookViewId="0">
      <selection activeCell="P24" sqref="P24"/>
    </sheetView>
  </sheetViews>
  <sheetFormatPr defaultRowHeight="15" x14ac:dyDescent="0.25"/>
  <cols>
    <col min="1" max="1" width="19.5703125" bestFit="1" customWidth="1"/>
    <col min="2" max="2" width="15.42578125" bestFit="1" customWidth="1"/>
    <col min="3" max="3" width="13.140625" bestFit="1" customWidth="1"/>
    <col min="4" max="4" width="11" bestFit="1" customWidth="1"/>
    <col min="5" max="5" width="12.85546875" bestFit="1" customWidth="1"/>
    <col min="6" max="6" width="14.28515625" bestFit="1" customWidth="1"/>
    <col min="7" max="7" width="17.5703125" bestFit="1" customWidth="1"/>
    <col min="8" max="8" width="18.5703125" style="7" bestFit="1" customWidth="1"/>
    <col min="9" max="9" width="17.85546875" bestFit="1" customWidth="1"/>
    <col min="10" max="10" width="17.5703125" bestFit="1" customWidth="1"/>
    <col min="12" max="12" width="18.140625" customWidth="1"/>
    <col min="14" max="14" width="9.5703125" bestFit="1" customWidth="1"/>
    <col min="15" max="15" width="9.7109375" customWidth="1"/>
    <col min="16" max="16" width="10.5703125" bestFit="1" customWidth="1"/>
  </cols>
  <sheetData>
    <row r="1" spans="1:16" x14ac:dyDescent="0.25">
      <c r="A1" s="9" t="s">
        <v>38</v>
      </c>
      <c r="B1" t="s">
        <v>928</v>
      </c>
      <c r="G1" s="10" t="s">
        <v>966</v>
      </c>
    </row>
    <row r="3" spans="1:16" x14ac:dyDescent="0.25">
      <c r="A3" s="9" t="s">
        <v>926</v>
      </c>
      <c r="B3" t="s">
        <v>929</v>
      </c>
      <c r="C3" t="s">
        <v>930</v>
      </c>
      <c r="D3" t="s">
        <v>931</v>
      </c>
      <c r="E3" t="s">
        <v>932</v>
      </c>
      <c r="F3" t="s">
        <v>933</v>
      </c>
      <c r="G3" t="s">
        <v>962</v>
      </c>
      <c r="H3" s="7" t="s">
        <v>963</v>
      </c>
      <c r="I3" t="s">
        <v>949</v>
      </c>
      <c r="J3" t="s">
        <v>950</v>
      </c>
      <c r="L3" t="s">
        <v>936</v>
      </c>
      <c r="M3" t="s">
        <v>964</v>
      </c>
      <c r="N3">
        <v>36</v>
      </c>
    </row>
    <row r="4" spans="1:16" x14ac:dyDescent="0.25">
      <c r="A4" s="6" t="s">
        <v>50</v>
      </c>
      <c r="B4">
        <v>31</v>
      </c>
      <c r="C4">
        <v>29</v>
      </c>
      <c r="D4">
        <v>2.552</v>
      </c>
      <c r="E4">
        <v>27</v>
      </c>
      <c r="F4">
        <v>5</v>
      </c>
      <c r="G4">
        <v>32</v>
      </c>
      <c r="H4" s="7">
        <v>0.87096774193548387</v>
      </c>
      <c r="I4">
        <v>35</v>
      </c>
      <c r="J4">
        <v>26</v>
      </c>
      <c r="M4" s="2" t="s">
        <v>965</v>
      </c>
      <c r="N4">
        <v>35</v>
      </c>
    </row>
    <row r="5" spans="1:16" x14ac:dyDescent="0.25">
      <c r="A5" s="6" t="s">
        <v>142</v>
      </c>
      <c r="B5">
        <v>35</v>
      </c>
      <c r="C5">
        <v>33</v>
      </c>
      <c r="D5">
        <v>2.8570000000000002</v>
      </c>
      <c r="E5">
        <v>19</v>
      </c>
      <c r="F5">
        <v>8</v>
      </c>
      <c r="G5">
        <v>27</v>
      </c>
      <c r="H5" s="7">
        <v>0.54285714285714282</v>
      </c>
      <c r="I5">
        <v>93</v>
      </c>
      <c r="J5">
        <v>168</v>
      </c>
      <c r="L5" t="s">
        <v>938</v>
      </c>
      <c r="M5" t="s">
        <v>242</v>
      </c>
      <c r="N5">
        <v>34</v>
      </c>
    </row>
    <row r="6" spans="1:16" x14ac:dyDescent="0.25">
      <c r="A6" s="6" t="s">
        <v>313</v>
      </c>
      <c r="B6">
        <v>36</v>
      </c>
      <c r="C6">
        <v>31</v>
      </c>
      <c r="D6">
        <v>2.6469999999999998</v>
      </c>
      <c r="E6">
        <v>11</v>
      </c>
      <c r="F6">
        <v>8</v>
      </c>
      <c r="G6">
        <v>19</v>
      </c>
      <c r="H6" s="7">
        <v>0.30555555555555558</v>
      </c>
      <c r="I6">
        <v>64</v>
      </c>
      <c r="J6">
        <v>103</v>
      </c>
      <c r="M6" s="2" t="s">
        <v>965</v>
      </c>
      <c r="N6">
        <v>33</v>
      </c>
    </row>
    <row r="7" spans="1:16" x14ac:dyDescent="0.25">
      <c r="A7" s="6" t="s">
        <v>242</v>
      </c>
      <c r="B7">
        <v>34</v>
      </c>
      <c r="C7">
        <v>34</v>
      </c>
      <c r="D7">
        <v>2.931</v>
      </c>
      <c r="E7">
        <v>8</v>
      </c>
      <c r="F7">
        <v>9</v>
      </c>
      <c r="G7">
        <v>17</v>
      </c>
      <c r="H7" s="7">
        <v>0.23529411764705882</v>
      </c>
      <c r="I7">
        <v>76</v>
      </c>
      <c r="J7">
        <v>376</v>
      </c>
      <c r="L7" t="s">
        <v>939</v>
      </c>
      <c r="M7" t="s">
        <v>242</v>
      </c>
      <c r="N7">
        <v>2931</v>
      </c>
    </row>
    <row r="8" spans="1:16" x14ac:dyDescent="0.25">
      <c r="A8" s="6" t="s">
        <v>95</v>
      </c>
      <c r="B8">
        <v>33</v>
      </c>
      <c r="C8">
        <v>29</v>
      </c>
      <c r="D8">
        <v>2.5779999999999998</v>
      </c>
      <c r="E8">
        <v>6</v>
      </c>
      <c r="F8">
        <v>9</v>
      </c>
      <c r="G8">
        <v>15</v>
      </c>
      <c r="H8" s="7">
        <v>0.18181818181818182</v>
      </c>
      <c r="I8">
        <v>140</v>
      </c>
      <c r="J8">
        <v>177</v>
      </c>
      <c r="M8" s="2" t="s">
        <v>965</v>
      </c>
      <c r="N8">
        <v>2857</v>
      </c>
    </row>
    <row r="9" spans="1:16" x14ac:dyDescent="0.25">
      <c r="A9" s="6" t="s">
        <v>75</v>
      </c>
      <c r="B9">
        <v>28</v>
      </c>
      <c r="C9">
        <v>26</v>
      </c>
      <c r="D9">
        <v>2.3279999999999998</v>
      </c>
      <c r="E9">
        <v>4</v>
      </c>
      <c r="F9">
        <v>1</v>
      </c>
      <c r="G9">
        <v>5</v>
      </c>
      <c r="H9" s="7">
        <v>0.14285714285714285</v>
      </c>
      <c r="I9">
        <v>63</v>
      </c>
      <c r="J9">
        <v>136</v>
      </c>
      <c r="L9" t="s">
        <v>943</v>
      </c>
      <c r="N9">
        <v>38</v>
      </c>
    </row>
    <row r="10" spans="1:16" x14ac:dyDescent="0.25">
      <c r="A10" s="6" t="s">
        <v>183</v>
      </c>
      <c r="B10">
        <v>18</v>
      </c>
      <c r="C10">
        <v>15</v>
      </c>
      <c r="D10">
        <v>1.2210000000000001</v>
      </c>
      <c r="E10">
        <v>4</v>
      </c>
      <c r="F10">
        <v>10</v>
      </c>
      <c r="G10">
        <v>14</v>
      </c>
      <c r="H10" s="7">
        <v>0.22222222222222221</v>
      </c>
      <c r="I10">
        <v>47</v>
      </c>
      <c r="J10">
        <v>111</v>
      </c>
      <c r="L10" t="s">
        <v>941</v>
      </c>
      <c r="N10">
        <v>96</v>
      </c>
    </row>
    <row r="11" spans="1:16" x14ac:dyDescent="0.25">
      <c r="A11" s="6" t="s">
        <v>226</v>
      </c>
      <c r="B11">
        <v>20</v>
      </c>
      <c r="C11">
        <v>10</v>
      </c>
      <c r="D11">
        <v>1.0089999999999999</v>
      </c>
      <c r="E11">
        <v>3</v>
      </c>
      <c r="F11">
        <v>1</v>
      </c>
      <c r="G11">
        <v>4</v>
      </c>
      <c r="H11" s="7">
        <v>0.15</v>
      </c>
      <c r="I11">
        <v>87</v>
      </c>
      <c r="J11">
        <v>50</v>
      </c>
      <c r="L11" t="s">
        <v>942</v>
      </c>
      <c r="N11">
        <v>34</v>
      </c>
    </row>
    <row r="12" spans="1:16" x14ac:dyDescent="0.25">
      <c r="A12" s="6" t="s">
        <v>213</v>
      </c>
      <c r="B12">
        <v>29</v>
      </c>
      <c r="C12">
        <v>18</v>
      </c>
      <c r="D12">
        <v>1.595</v>
      </c>
      <c r="E12">
        <v>3</v>
      </c>
      <c r="F12">
        <v>8</v>
      </c>
      <c r="G12">
        <v>11</v>
      </c>
      <c r="H12" s="7">
        <v>0.10344827586206896</v>
      </c>
      <c r="I12">
        <v>218</v>
      </c>
      <c r="J12">
        <v>57</v>
      </c>
      <c r="L12" t="s">
        <v>944</v>
      </c>
      <c r="N12" s="7">
        <f>N10/N9</f>
        <v>2.5263157894736841</v>
      </c>
    </row>
    <row r="13" spans="1:16" x14ac:dyDescent="0.25">
      <c r="A13" s="6" t="s">
        <v>133</v>
      </c>
      <c r="B13">
        <v>16</v>
      </c>
      <c r="C13">
        <v>8</v>
      </c>
      <c r="D13">
        <v>809</v>
      </c>
      <c r="E13">
        <v>2</v>
      </c>
      <c r="F13">
        <v>0</v>
      </c>
      <c r="G13">
        <v>2</v>
      </c>
      <c r="H13" s="7">
        <v>0.125</v>
      </c>
      <c r="I13">
        <v>21</v>
      </c>
      <c r="J13">
        <v>33</v>
      </c>
      <c r="L13" t="s">
        <v>945</v>
      </c>
      <c r="N13" s="7">
        <f>N11/N9</f>
        <v>0.89473684210526316</v>
      </c>
    </row>
    <row r="14" spans="1:16" x14ac:dyDescent="0.25">
      <c r="A14" s="6" t="s">
        <v>221</v>
      </c>
      <c r="B14">
        <v>29</v>
      </c>
      <c r="C14">
        <v>24</v>
      </c>
      <c r="D14">
        <v>2.0419999999999998</v>
      </c>
      <c r="E14">
        <v>2</v>
      </c>
      <c r="F14">
        <v>2</v>
      </c>
      <c r="G14">
        <v>4</v>
      </c>
      <c r="H14" s="7">
        <v>6.8965517241379309E-2</v>
      </c>
      <c r="I14">
        <v>24</v>
      </c>
      <c r="J14">
        <v>116</v>
      </c>
      <c r="L14" t="s">
        <v>974</v>
      </c>
      <c r="M14" t="s">
        <v>937</v>
      </c>
      <c r="N14">
        <v>27</v>
      </c>
      <c r="O14" t="s">
        <v>968</v>
      </c>
      <c r="P14" s="7">
        <f>N14/N9</f>
        <v>0.71052631578947367</v>
      </c>
    </row>
    <row r="15" spans="1:16" x14ac:dyDescent="0.25">
      <c r="A15" s="6" t="s">
        <v>110</v>
      </c>
      <c r="B15">
        <v>30</v>
      </c>
      <c r="C15">
        <v>28</v>
      </c>
      <c r="D15">
        <v>2.5110000000000001</v>
      </c>
      <c r="E15">
        <v>2</v>
      </c>
      <c r="F15">
        <v>0</v>
      </c>
      <c r="G15">
        <v>2</v>
      </c>
      <c r="H15" s="7">
        <v>6.6666666666666666E-2</v>
      </c>
      <c r="I15">
        <v>46</v>
      </c>
      <c r="J15">
        <v>148</v>
      </c>
      <c r="M15" t="s">
        <v>965</v>
      </c>
      <c r="N15">
        <v>19</v>
      </c>
      <c r="P15" s="7">
        <f>N15/N9</f>
        <v>0.5</v>
      </c>
    </row>
    <row r="16" spans="1:16" x14ac:dyDescent="0.25">
      <c r="A16" s="6" t="s">
        <v>235</v>
      </c>
      <c r="B16">
        <v>16</v>
      </c>
      <c r="C16">
        <v>12</v>
      </c>
      <c r="D16">
        <v>1.0640000000000001</v>
      </c>
      <c r="E16">
        <v>1</v>
      </c>
      <c r="F16">
        <v>0</v>
      </c>
      <c r="G16">
        <v>1</v>
      </c>
      <c r="H16" s="7">
        <v>6.25E-2</v>
      </c>
      <c r="I16">
        <v>16</v>
      </c>
      <c r="J16">
        <v>57</v>
      </c>
      <c r="M16" t="s">
        <v>964</v>
      </c>
      <c r="N16">
        <v>11</v>
      </c>
      <c r="P16" s="7">
        <f>N16/N9</f>
        <v>0.28947368421052633</v>
      </c>
    </row>
    <row r="17" spans="1:16" x14ac:dyDescent="0.25">
      <c r="A17" s="6" t="s">
        <v>368</v>
      </c>
      <c r="B17">
        <v>14</v>
      </c>
      <c r="C17">
        <v>2</v>
      </c>
      <c r="D17">
        <v>302</v>
      </c>
      <c r="E17">
        <v>1</v>
      </c>
      <c r="F17">
        <v>1</v>
      </c>
      <c r="G17">
        <v>2</v>
      </c>
      <c r="H17" s="7">
        <v>7.1428571428571425E-2</v>
      </c>
      <c r="I17">
        <v>13</v>
      </c>
      <c r="J17">
        <v>25</v>
      </c>
      <c r="L17" t="s">
        <v>946</v>
      </c>
      <c r="M17" t="s">
        <v>948</v>
      </c>
      <c r="N17">
        <v>10</v>
      </c>
      <c r="P17" s="7">
        <f>N17/N9</f>
        <v>0.26315789473684209</v>
      </c>
    </row>
    <row r="18" spans="1:16" x14ac:dyDescent="0.25">
      <c r="A18" s="6" t="s">
        <v>122</v>
      </c>
      <c r="B18">
        <v>30</v>
      </c>
      <c r="C18">
        <v>16</v>
      </c>
      <c r="D18">
        <v>1.5509999999999999</v>
      </c>
      <c r="E18">
        <v>1</v>
      </c>
      <c r="F18">
        <v>0</v>
      </c>
      <c r="G18">
        <v>1</v>
      </c>
      <c r="H18" s="7">
        <v>3.3333333333333333E-2</v>
      </c>
      <c r="I18">
        <v>37</v>
      </c>
      <c r="J18">
        <v>100</v>
      </c>
      <c r="M18" t="s">
        <v>967</v>
      </c>
      <c r="N18">
        <v>9</v>
      </c>
      <c r="P18" s="7">
        <f>N18/N9</f>
        <v>0.23684210526315788</v>
      </c>
    </row>
    <row r="19" spans="1:16" x14ac:dyDescent="0.25">
      <c r="A19" s="6" t="s">
        <v>211</v>
      </c>
      <c r="B19">
        <v>9</v>
      </c>
      <c r="C19">
        <v>5</v>
      </c>
      <c r="D19">
        <v>635</v>
      </c>
      <c r="E19">
        <v>0</v>
      </c>
      <c r="F19">
        <v>0</v>
      </c>
      <c r="G19">
        <v>0</v>
      </c>
      <c r="H19" s="7">
        <v>0</v>
      </c>
      <c r="I19">
        <v>0</v>
      </c>
      <c r="J19">
        <v>0</v>
      </c>
      <c r="M19" t="s">
        <v>242</v>
      </c>
      <c r="N19">
        <v>9</v>
      </c>
      <c r="P19" s="7">
        <f>N19/N9</f>
        <v>0.23684210526315788</v>
      </c>
    </row>
    <row r="20" spans="1:16" x14ac:dyDescent="0.25">
      <c r="A20" s="6" t="s">
        <v>377</v>
      </c>
      <c r="B20">
        <v>0</v>
      </c>
      <c r="C20">
        <v>0</v>
      </c>
      <c r="D20">
        <v>0</v>
      </c>
      <c r="G20">
        <v>0</v>
      </c>
      <c r="H20" s="7" t="e">
        <v>#DIV/0!</v>
      </c>
      <c r="J20" t="e">
        <v>#VALUE!</v>
      </c>
      <c r="L20" t="s">
        <v>953</v>
      </c>
      <c r="M20" t="s">
        <v>951</v>
      </c>
      <c r="N20">
        <v>218</v>
      </c>
      <c r="O20" t="s">
        <v>968</v>
      </c>
      <c r="P20" s="7">
        <f>N20/N9</f>
        <v>5.7368421052631575</v>
      </c>
    </row>
    <row r="21" spans="1:16" x14ac:dyDescent="0.25">
      <c r="A21" s="6" t="s">
        <v>374</v>
      </c>
      <c r="B21">
        <v>1</v>
      </c>
      <c r="C21">
        <v>0</v>
      </c>
      <c r="D21">
        <v>11</v>
      </c>
      <c r="E21">
        <v>0</v>
      </c>
      <c r="F21">
        <v>0</v>
      </c>
      <c r="G21">
        <v>0</v>
      </c>
      <c r="H21" s="7">
        <v>0</v>
      </c>
      <c r="I21">
        <v>0</v>
      </c>
      <c r="J21">
        <v>0</v>
      </c>
    </row>
    <row r="22" spans="1:16" x14ac:dyDescent="0.25">
      <c r="A22" s="6" t="s">
        <v>376</v>
      </c>
      <c r="B22">
        <v>0</v>
      </c>
      <c r="C22">
        <v>0</v>
      </c>
      <c r="D22">
        <v>0</v>
      </c>
      <c r="G22">
        <v>0</v>
      </c>
      <c r="H22" s="7" t="e">
        <v>#DIV/0!</v>
      </c>
      <c r="J22" t="e">
        <v>#VALUE!</v>
      </c>
      <c r="L22" t="s">
        <v>952</v>
      </c>
      <c r="M22" t="s">
        <v>242</v>
      </c>
      <c r="N22">
        <v>376</v>
      </c>
      <c r="O22" t="s">
        <v>968</v>
      </c>
      <c r="P22" s="14">
        <f>N22/N9</f>
        <v>9.8947368421052637</v>
      </c>
    </row>
    <row r="23" spans="1:16" x14ac:dyDescent="0.25">
      <c r="A23" s="6" t="s">
        <v>371</v>
      </c>
      <c r="B23">
        <v>6</v>
      </c>
      <c r="C23">
        <v>0</v>
      </c>
      <c r="D23">
        <v>53</v>
      </c>
      <c r="E23">
        <v>0</v>
      </c>
      <c r="F23">
        <v>1</v>
      </c>
      <c r="G23">
        <v>1</v>
      </c>
      <c r="H23" s="7">
        <v>0</v>
      </c>
      <c r="I23">
        <v>4</v>
      </c>
      <c r="J23">
        <v>2</v>
      </c>
      <c r="M23" t="s">
        <v>970</v>
      </c>
      <c r="N23">
        <v>177</v>
      </c>
      <c r="P23" s="7">
        <f>N23/N9</f>
        <v>4.6578947368421053</v>
      </c>
    </row>
    <row r="24" spans="1:16" x14ac:dyDescent="0.25">
      <c r="A24" s="6" t="s">
        <v>248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 s="7">
        <v>0</v>
      </c>
      <c r="I24">
        <v>0</v>
      </c>
      <c r="J24">
        <v>0</v>
      </c>
    </row>
    <row r="25" spans="1:16" x14ac:dyDescent="0.25">
      <c r="A25" s="6" t="s">
        <v>154</v>
      </c>
      <c r="B25">
        <v>33</v>
      </c>
      <c r="C25">
        <v>33</v>
      </c>
      <c r="D25">
        <v>2.7850000000000001</v>
      </c>
      <c r="E25">
        <v>0</v>
      </c>
      <c r="F25">
        <v>0</v>
      </c>
      <c r="G25">
        <v>0</v>
      </c>
      <c r="H25" s="7">
        <v>0</v>
      </c>
      <c r="I25">
        <v>0</v>
      </c>
      <c r="J25">
        <v>4</v>
      </c>
      <c r="L25" s="1" t="s">
        <v>956</v>
      </c>
    </row>
    <row r="26" spans="1:16" x14ac:dyDescent="0.25">
      <c r="A26" s="6" t="s">
        <v>179</v>
      </c>
      <c r="B26">
        <v>30</v>
      </c>
      <c r="C26">
        <v>28</v>
      </c>
      <c r="D26">
        <v>2.5590000000000002</v>
      </c>
      <c r="E26">
        <v>0</v>
      </c>
      <c r="F26">
        <v>0</v>
      </c>
      <c r="G26">
        <v>0</v>
      </c>
      <c r="H26" s="7">
        <v>0</v>
      </c>
      <c r="I26">
        <v>34</v>
      </c>
      <c r="J26">
        <v>173</v>
      </c>
      <c r="L26" t="s">
        <v>960</v>
      </c>
      <c r="M26">
        <v>20</v>
      </c>
    </row>
    <row r="27" spans="1:16" x14ac:dyDescent="0.25">
      <c r="A27" s="6" t="s">
        <v>260</v>
      </c>
      <c r="B27">
        <v>0</v>
      </c>
      <c r="C27">
        <v>0</v>
      </c>
      <c r="D27">
        <v>0</v>
      </c>
      <c r="G27">
        <v>0</v>
      </c>
      <c r="H27" s="7" t="e">
        <v>#DIV/0!</v>
      </c>
      <c r="J27" t="e">
        <v>#VALUE!</v>
      </c>
      <c r="L27" s="2" t="s">
        <v>958</v>
      </c>
      <c r="M27" s="2">
        <v>9</v>
      </c>
    </row>
    <row r="28" spans="1:16" x14ac:dyDescent="0.25">
      <c r="A28" s="6" t="s">
        <v>256</v>
      </c>
      <c r="B28">
        <v>0</v>
      </c>
      <c r="C28">
        <v>0</v>
      </c>
      <c r="D28">
        <v>0</v>
      </c>
      <c r="G28">
        <v>0</v>
      </c>
      <c r="H28" s="7" t="e">
        <v>#DIV/0!</v>
      </c>
      <c r="J28" t="e">
        <v>#VALUE!</v>
      </c>
      <c r="L28" t="s">
        <v>959</v>
      </c>
      <c r="M28">
        <v>7</v>
      </c>
    </row>
    <row r="29" spans="1:16" x14ac:dyDescent="0.25">
      <c r="A29" s="6" t="s">
        <v>375</v>
      </c>
      <c r="B29">
        <v>0</v>
      </c>
      <c r="C29">
        <v>0</v>
      </c>
      <c r="D29">
        <v>0</v>
      </c>
      <c r="G29">
        <v>0</v>
      </c>
      <c r="H29" s="7" t="e">
        <v>#DIV/0!</v>
      </c>
      <c r="J29" t="e">
        <v>#VALUE!</v>
      </c>
      <c r="L29" t="s">
        <v>957</v>
      </c>
      <c r="M29">
        <v>1</v>
      </c>
    </row>
    <row r="30" spans="1:16" x14ac:dyDescent="0.25">
      <c r="A30" s="6" t="s">
        <v>370</v>
      </c>
      <c r="B30">
        <v>4</v>
      </c>
      <c r="C30">
        <v>0</v>
      </c>
      <c r="D30">
        <v>93</v>
      </c>
      <c r="E30">
        <v>0</v>
      </c>
      <c r="F30">
        <v>0</v>
      </c>
      <c r="G30">
        <v>0</v>
      </c>
      <c r="H30" s="7">
        <v>0</v>
      </c>
      <c r="I30">
        <v>7</v>
      </c>
      <c r="J30">
        <v>7</v>
      </c>
      <c r="L30" t="s">
        <v>971</v>
      </c>
      <c r="M30">
        <v>1</v>
      </c>
    </row>
    <row r="31" spans="1:16" x14ac:dyDescent="0.25">
      <c r="A31" s="6" t="s">
        <v>196</v>
      </c>
      <c r="B31">
        <v>17</v>
      </c>
      <c r="C31">
        <v>7</v>
      </c>
      <c r="D31">
        <v>661</v>
      </c>
      <c r="E31">
        <v>0</v>
      </c>
      <c r="F31">
        <v>2</v>
      </c>
      <c r="G31">
        <v>2</v>
      </c>
      <c r="H31" s="7">
        <v>0</v>
      </c>
      <c r="I31">
        <v>28</v>
      </c>
      <c r="J31">
        <v>34</v>
      </c>
    </row>
    <row r="32" spans="1:16" x14ac:dyDescent="0.25">
      <c r="A32" s="6" t="s">
        <v>373</v>
      </c>
      <c r="B32">
        <v>1</v>
      </c>
      <c r="C32">
        <v>0</v>
      </c>
      <c r="D32">
        <v>12</v>
      </c>
      <c r="E32">
        <v>0</v>
      </c>
      <c r="F32">
        <v>0</v>
      </c>
      <c r="G32">
        <v>0</v>
      </c>
      <c r="H32" s="7">
        <v>0</v>
      </c>
      <c r="I32">
        <v>0</v>
      </c>
      <c r="J32">
        <v>0</v>
      </c>
      <c r="L32" t="s">
        <v>45</v>
      </c>
      <c r="M32" t="s">
        <v>382</v>
      </c>
    </row>
    <row r="33" spans="1:13" x14ac:dyDescent="0.25">
      <c r="A33" s="6" t="s">
        <v>204</v>
      </c>
      <c r="B33">
        <v>32</v>
      </c>
      <c r="C33">
        <v>30</v>
      </c>
      <c r="D33">
        <v>2.7669999999999999</v>
      </c>
      <c r="E33">
        <v>0</v>
      </c>
      <c r="F33">
        <v>4</v>
      </c>
      <c r="G33">
        <v>4</v>
      </c>
      <c r="H33" s="7">
        <v>0</v>
      </c>
      <c r="I33">
        <v>74</v>
      </c>
      <c r="J33">
        <v>157</v>
      </c>
      <c r="L33" s="2" t="s">
        <v>972</v>
      </c>
      <c r="M33" s="2" t="s">
        <v>394</v>
      </c>
    </row>
    <row r="34" spans="1:13" x14ac:dyDescent="0.25">
      <c r="A34" s="6" t="s">
        <v>927</v>
      </c>
      <c r="B34">
        <v>533</v>
      </c>
      <c r="C34">
        <v>418</v>
      </c>
      <c r="D34">
        <v>2611.9970000000003</v>
      </c>
      <c r="E34">
        <v>94</v>
      </c>
      <c r="F34">
        <v>69</v>
      </c>
      <c r="G34">
        <v>163</v>
      </c>
      <c r="H34" s="7">
        <v>0.17636022514071295</v>
      </c>
      <c r="I34">
        <v>1127</v>
      </c>
      <c r="J34" t="e"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994E-11C4-4669-9A6D-BBC744DB0B90}">
  <dimension ref="A1:T143"/>
  <sheetViews>
    <sheetView topLeftCell="A39" zoomScaleNormal="100" workbookViewId="0">
      <selection activeCell="B139" sqref="B139"/>
    </sheetView>
  </sheetViews>
  <sheetFormatPr defaultRowHeight="15" x14ac:dyDescent="0.25"/>
  <cols>
    <col min="2" max="2" width="36.5703125" customWidth="1"/>
    <col min="3" max="3" width="13.140625" customWidth="1"/>
    <col min="5" max="5" width="10.140625" customWidth="1"/>
    <col min="6" max="6" width="10.7109375" customWidth="1"/>
    <col min="7" max="7" width="10.85546875" customWidth="1"/>
    <col min="14" max="14" width="36.5703125" customWidth="1"/>
    <col min="15" max="15" width="12.42578125" customWidth="1"/>
    <col min="17" max="17" width="10.140625" customWidth="1"/>
    <col min="18" max="18" width="11" customWidth="1"/>
    <col min="19" max="19" width="11.140625" customWidth="1"/>
  </cols>
  <sheetData>
    <row r="1" spans="1:16" x14ac:dyDescent="0.25">
      <c r="G1" s="43" t="s">
        <v>1010</v>
      </c>
      <c r="H1" s="44"/>
      <c r="I1" s="44"/>
      <c r="J1" s="44"/>
      <c r="K1" s="44"/>
      <c r="L1" s="44"/>
    </row>
    <row r="2" spans="1:16" x14ac:dyDescent="0.25">
      <c r="G2" s="44"/>
      <c r="H2" s="44"/>
      <c r="I2" s="44"/>
      <c r="J2" s="44"/>
      <c r="K2" s="44"/>
      <c r="L2" s="44"/>
    </row>
    <row r="3" spans="1:16" x14ac:dyDescent="0.25">
      <c r="G3" s="44"/>
      <c r="H3" s="44"/>
      <c r="I3" s="44"/>
      <c r="J3" s="44"/>
      <c r="K3" s="44"/>
      <c r="L3" s="44"/>
    </row>
    <row r="4" spans="1:16" x14ac:dyDescent="0.25">
      <c r="G4" s="5"/>
      <c r="H4" s="5"/>
      <c r="I4" s="5"/>
      <c r="J4" s="5"/>
      <c r="K4" s="5"/>
      <c r="L4" s="5"/>
    </row>
    <row r="6" spans="1:16" x14ac:dyDescent="0.25">
      <c r="B6" s="13" t="s">
        <v>935</v>
      </c>
      <c r="N6" s="10" t="s">
        <v>966</v>
      </c>
    </row>
    <row r="8" spans="1:16" x14ac:dyDescent="0.25">
      <c r="A8" s="13" t="s">
        <v>935</v>
      </c>
      <c r="B8" t="s">
        <v>936</v>
      </c>
      <c r="C8" t="s">
        <v>937</v>
      </c>
      <c r="D8">
        <v>24</v>
      </c>
      <c r="M8" s="10" t="s">
        <v>966</v>
      </c>
      <c r="N8" t="s">
        <v>936</v>
      </c>
      <c r="O8" t="s">
        <v>964</v>
      </c>
      <c r="P8">
        <v>36</v>
      </c>
    </row>
    <row r="9" spans="1:16" x14ac:dyDescent="0.25">
      <c r="A9" s="13" t="s">
        <v>935</v>
      </c>
      <c r="B9" t="s">
        <v>938</v>
      </c>
      <c r="C9" t="s">
        <v>937</v>
      </c>
      <c r="D9">
        <v>24</v>
      </c>
      <c r="M9" s="10" t="s">
        <v>966</v>
      </c>
      <c r="O9" s="2" t="s">
        <v>965</v>
      </c>
      <c r="P9">
        <v>35</v>
      </c>
    </row>
    <row r="10" spans="1:16" x14ac:dyDescent="0.25">
      <c r="A10" s="13" t="s">
        <v>935</v>
      </c>
      <c r="B10" t="s">
        <v>939</v>
      </c>
      <c r="C10" t="s">
        <v>937</v>
      </c>
      <c r="D10">
        <v>2124</v>
      </c>
      <c r="M10" s="10" t="s">
        <v>966</v>
      </c>
      <c r="N10" t="s">
        <v>938</v>
      </c>
      <c r="O10" t="s">
        <v>242</v>
      </c>
      <c r="P10">
        <v>34</v>
      </c>
    </row>
    <row r="11" spans="1:16" x14ac:dyDescent="0.25">
      <c r="O11" s="2" t="s">
        <v>965</v>
      </c>
      <c r="P11">
        <v>33</v>
      </c>
    </row>
    <row r="12" spans="1:16" x14ac:dyDescent="0.25">
      <c r="M12" s="10" t="s">
        <v>966</v>
      </c>
      <c r="N12" t="s">
        <v>939</v>
      </c>
      <c r="O12" t="s">
        <v>242</v>
      </c>
      <c r="P12">
        <v>2931</v>
      </c>
    </row>
    <row r="13" spans="1:16" x14ac:dyDescent="0.25">
      <c r="O13" s="2" t="s">
        <v>965</v>
      </c>
      <c r="P13">
        <v>2857</v>
      </c>
    </row>
    <row r="14" spans="1:16" x14ac:dyDescent="0.25">
      <c r="A14" s="13" t="s">
        <v>935</v>
      </c>
      <c r="B14" t="s">
        <v>943</v>
      </c>
      <c r="D14">
        <v>24</v>
      </c>
      <c r="M14" s="10" t="s">
        <v>966</v>
      </c>
      <c r="N14" t="s">
        <v>943</v>
      </c>
      <c r="P14">
        <v>38</v>
      </c>
    </row>
    <row r="15" spans="1:16" x14ac:dyDescent="0.25">
      <c r="A15" s="13" t="s">
        <v>935</v>
      </c>
      <c r="B15" t="s">
        <v>941</v>
      </c>
      <c r="D15">
        <v>48</v>
      </c>
      <c r="M15" s="10" t="s">
        <v>966</v>
      </c>
      <c r="N15" t="s">
        <v>941</v>
      </c>
      <c r="P15">
        <v>96</v>
      </c>
    </row>
    <row r="16" spans="1:16" x14ac:dyDescent="0.25">
      <c r="A16" s="13" t="s">
        <v>935</v>
      </c>
      <c r="B16" t="s">
        <v>942</v>
      </c>
      <c r="D16">
        <v>35</v>
      </c>
      <c r="M16" s="10" t="s">
        <v>966</v>
      </c>
      <c r="N16" t="s">
        <v>942</v>
      </c>
      <c r="P16">
        <v>34</v>
      </c>
    </row>
    <row r="17" spans="1:18" x14ac:dyDescent="0.25">
      <c r="A17" s="13" t="s">
        <v>935</v>
      </c>
      <c r="B17" t="s">
        <v>944</v>
      </c>
      <c r="D17">
        <v>2</v>
      </c>
      <c r="M17" s="10" t="s">
        <v>966</v>
      </c>
      <c r="N17" t="s">
        <v>944</v>
      </c>
      <c r="P17" s="7">
        <v>2.5263157894736841</v>
      </c>
    </row>
    <row r="18" spans="1:18" x14ac:dyDescent="0.25">
      <c r="A18" s="13" t="s">
        <v>935</v>
      </c>
      <c r="B18" t="s">
        <v>945</v>
      </c>
      <c r="D18" s="7">
        <v>1.4583333333333333</v>
      </c>
      <c r="M18" s="10" t="s">
        <v>966</v>
      </c>
      <c r="N18" t="s">
        <v>945</v>
      </c>
      <c r="P18" s="7">
        <v>0.89473684210526316</v>
      </c>
    </row>
    <row r="19" spans="1:18" x14ac:dyDescent="0.25">
      <c r="A19" s="13" t="s">
        <v>935</v>
      </c>
      <c r="B19" t="s">
        <v>973</v>
      </c>
      <c r="C19" t="s">
        <v>937</v>
      </c>
      <c r="D19">
        <v>19</v>
      </c>
      <c r="E19" t="s">
        <v>968</v>
      </c>
      <c r="F19" s="7">
        <v>0.79166666666666663</v>
      </c>
      <c r="M19" s="10" t="s">
        <v>966</v>
      </c>
      <c r="N19" t="s">
        <v>974</v>
      </c>
      <c r="O19" t="s">
        <v>937</v>
      </c>
      <c r="P19">
        <v>27</v>
      </c>
      <c r="Q19" t="s">
        <v>968</v>
      </c>
      <c r="R19" s="7">
        <v>0.71052631578947367</v>
      </c>
    </row>
    <row r="20" spans="1:18" x14ac:dyDescent="0.25">
      <c r="C20" t="s">
        <v>965</v>
      </c>
      <c r="D20">
        <v>7</v>
      </c>
      <c r="F20" s="7">
        <v>0.29166666666666669</v>
      </c>
      <c r="O20" t="s">
        <v>965</v>
      </c>
      <c r="P20">
        <v>19</v>
      </c>
      <c r="R20" s="7">
        <v>0.5</v>
      </c>
    </row>
    <row r="21" spans="1:18" x14ac:dyDescent="0.25">
      <c r="O21" t="s">
        <v>964</v>
      </c>
      <c r="P21">
        <v>11</v>
      </c>
      <c r="R21" s="7">
        <v>0.28947368421052599</v>
      </c>
    </row>
    <row r="22" spans="1:18" x14ac:dyDescent="0.25">
      <c r="A22" s="13" t="s">
        <v>935</v>
      </c>
      <c r="B22" t="s">
        <v>946</v>
      </c>
      <c r="C22" t="s">
        <v>947</v>
      </c>
      <c r="D22">
        <v>6</v>
      </c>
      <c r="E22" t="s">
        <v>969</v>
      </c>
      <c r="F22">
        <v>0.25</v>
      </c>
      <c r="M22" s="10" t="s">
        <v>966</v>
      </c>
      <c r="N22" t="s">
        <v>946</v>
      </c>
      <c r="O22" t="s">
        <v>948</v>
      </c>
      <c r="P22">
        <v>10</v>
      </c>
      <c r="Q22" t="s">
        <v>969</v>
      </c>
      <c r="R22" s="7">
        <v>0.26315789473684209</v>
      </c>
    </row>
    <row r="23" spans="1:18" x14ac:dyDescent="0.25">
      <c r="C23" t="s">
        <v>948</v>
      </c>
      <c r="D23">
        <v>6</v>
      </c>
      <c r="F23">
        <v>0.25</v>
      </c>
      <c r="O23" t="s">
        <v>967</v>
      </c>
      <c r="P23">
        <v>9</v>
      </c>
      <c r="R23" s="7">
        <v>0.23684210526315788</v>
      </c>
    </row>
    <row r="24" spans="1:18" x14ac:dyDescent="0.25">
      <c r="O24" t="s">
        <v>242</v>
      </c>
      <c r="P24">
        <v>9</v>
      </c>
      <c r="R24" s="7">
        <v>0.23684210526315788</v>
      </c>
    </row>
    <row r="25" spans="1:18" x14ac:dyDescent="0.25">
      <c r="A25" s="13" t="s">
        <v>935</v>
      </c>
      <c r="B25" t="s">
        <v>953</v>
      </c>
      <c r="C25" t="s">
        <v>951</v>
      </c>
      <c r="D25">
        <v>104</v>
      </c>
      <c r="E25" t="s">
        <v>969</v>
      </c>
      <c r="F25" s="7">
        <v>4.333333333333333</v>
      </c>
      <c r="M25" s="10" t="s">
        <v>966</v>
      </c>
      <c r="N25" t="s">
        <v>953</v>
      </c>
      <c r="O25" t="s">
        <v>951</v>
      </c>
      <c r="P25">
        <v>218</v>
      </c>
      <c r="Q25" t="s">
        <v>968</v>
      </c>
      <c r="R25" s="7">
        <v>5.7368421052631575</v>
      </c>
    </row>
    <row r="26" spans="1:18" x14ac:dyDescent="0.25">
      <c r="C26" t="s">
        <v>947</v>
      </c>
      <c r="D26">
        <v>94</v>
      </c>
    </row>
    <row r="27" spans="1:18" x14ac:dyDescent="0.25">
      <c r="A27" s="13" t="s">
        <v>935</v>
      </c>
      <c r="B27" t="s">
        <v>952</v>
      </c>
      <c r="C27" t="s">
        <v>954</v>
      </c>
      <c r="D27">
        <v>163</v>
      </c>
      <c r="F27" s="7">
        <v>6.791666666666667</v>
      </c>
      <c r="M27" s="10" t="s">
        <v>966</v>
      </c>
      <c r="N27" t="s">
        <v>952</v>
      </c>
      <c r="O27" t="s">
        <v>242</v>
      </c>
      <c r="P27">
        <v>376</v>
      </c>
      <c r="Q27" t="s">
        <v>968</v>
      </c>
      <c r="R27" s="14">
        <v>9.8947368421052602</v>
      </c>
    </row>
    <row r="28" spans="1:18" x14ac:dyDescent="0.25">
      <c r="C28" t="s">
        <v>955</v>
      </c>
      <c r="D28">
        <v>135</v>
      </c>
      <c r="F28" s="7">
        <v>5.625</v>
      </c>
      <c r="O28" t="s">
        <v>970</v>
      </c>
      <c r="P28">
        <v>177</v>
      </c>
      <c r="R28" s="7">
        <v>4.6578947368421053</v>
      </c>
    </row>
    <row r="30" spans="1:18" x14ac:dyDescent="0.25">
      <c r="A30" s="13" t="s">
        <v>935</v>
      </c>
      <c r="B30" s="1" t="s">
        <v>956</v>
      </c>
      <c r="M30" s="10" t="s">
        <v>966</v>
      </c>
      <c r="N30" s="1" t="s">
        <v>956</v>
      </c>
    </row>
    <row r="31" spans="1:18" x14ac:dyDescent="0.25">
      <c r="A31" s="13" t="s">
        <v>935</v>
      </c>
      <c r="B31" t="s">
        <v>960</v>
      </c>
      <c r="C31">
        <v>10</v>
      </c>
      <c r="E31" s="22">
        <f>(C31/D14)</f>
        <v>0.41666666666666669</v>
      </c>
      <c r="M31" s="10" t="s">
        <v>966</v>
      </c>
      <c r="N31" t="s">
        <v>960</v>
      </c>
      <c r="O31">
        <v>20</v>
      </c>
      <c r="Q31" s="22">
        <f>O31/P14</f>
        <v>0.52631578947368418</v>
      </c>
    </row>
    <row r="32" spans="1:18" x14ac:dyDescent="0.25">
      <c r="A32" s="13" t="s">
        <v>935</v>
      </c>
      <c r="B32" t="s">
        <v>959</v>
      </c>
      <c r="C32">
        <v>9</v>
      </c>
      <c r="E32" s="22">
        <f>(C32/D14)</f>
        <v>0.375</v>
      </c>
      <c r="M32" s="10" t="s">
        <v>966</v>
      </c>
      <c r="N32" s="2" t="s">
        <v>958</v>
      </c>
      <c r="O32" s="2">
        <v>9</v>
      </c>
      <c r="Q32" s="22">
        <f>O32/P14</f>
        <v>0.23684210526315788</v>
      </c>
    </row>
    <row r="33" spans="1:20" x14ac:dyDescent="0.25">
      <c r="A33" s="13" t="s">
        <v>935</v>
      </c>
      <c r="B33" s="2" t="s">
        <v>958</v>
      </c>
      <c r="C33" s="2">
        <v>3</v>
      </c>
      <c r="E33" s="22">
        <f>(C33/D14)</f>
        <v>0.125</v>
      </c>
      <c r="M33" s="10" t="s">
        <v>966</v>
      </c>
      <c r="N33" t="s">
        <v>959</v>
      </c>
      <c r="O33">
        <v>7</v>
      </c>
      <c r="Q33" s="22">
        <f>O33/P14</f>
        <v>0.18421052631578946</v>
      </c>
    </row>
    <row r="34" spans="1:20" x14ac:dyDescent="0.25">
      <c r="A34" s="13" t="s">
        <v>935</v>
      </c>
      <c r="B34" s="11" t="s">
        <v>957</v>
      </c>
      <c r="C34">
        <v>3</v>
      </c>
      <c r="E34" s="22">
        <f>(C34/D14)</f>
        <v>0.125</v>
      </c>
      <c r="M34" s="10" t="s">
        <v>966</v>
      </c>
      <c r="N34" t="s">
        <v>957</v>
      </c>
      <c r="O34">
        <v>1</v>
      </c>
      <c r="Q34" s="22">
        <f>O34/P14</f>
        <v>2.6315789473684209E-2</v>
      </c>
    </row>
    <row r="35" spans="1:20" x14ac:dyDescent="0.25">
      <c r="M35" s="10" t="s">
        <v>966</v>
      </c>
      <c r="N35" t="s">
        <v>971</v>
      </c>
      <c r="O35">
        <v>1</v>
      </c>
      <c r="Q35" s="22">
        <f>O35/P14</f>
        <v>2.6315789473684209E-2</v>
      </c>
    </row>
    <row r="37" spans="1:20" x14ac:dyDescent="0.25">
      <c r="A37" s="13" t="s">
        <v>935</v>
      </c>
      <c r="B37" t="s">
        <v>45</v>
      </c>
      <c r="C37" s="7" t="s">
        <v>269</v>
      </c>
      <c r="E37" t="s">
        <v>968</v>
      </c>
      <c r="F37" s="7">
        <v>1.84</v>
      </c>
      <c r="M37" s="10" t="s">
        <v>966</v>
      </c>
      <c r="N37" t="s">
        <v>45</v>
      </c>
      <c r="O37" t="s">
        <v>382</v>
      </c>
      <c r="Q37" t="s">
        <v>968</v>
      </c>
      <c r="R37">
        <v>2.11</v>
      </c>
    </row>
    <row r="38" spans="1:20" x14ac:dyDescent="0.25">
      <c r="A38" s="13" t="s">
        <v>935</v>
      </c>
      <c r="B38" s="2" t="s">
        <v>972</v>
      </c>
      <c r="C38" s="2" t="s">
        <v>286</v>
      </c>
      <c r="F38">
        <v>1.42</v>
      </c>
      <c r="M38" s="10" t="s">
        <v>966</v>
      </c>
      <c r="N38" s="2" t="s">
        <v>972</v>
      </c>
      <c r="O38" s="2" t="s">
        <v>394</v>
      </c>
      <c r="R38">
        <v>0.93</v>
      </c>
    </row>
    <row r="40" spans="1:20" x14ac:dyDescent="0.25">
      <c r="G40" s="43" t="s">
        <v>1009</v>
      </c>
      <c r="H40" s="44"/>
      <c r="I40" s="44"/>
      <c r="J40" s="44"/>
      <c r="K40" s="44"/>
      <c r="L40" s="44"/>
    </row>
    <row r="41" spans="1:20" x14ac:dyDescent="0.25">
      <c r="G41" s="44"/>
      <c r="H41" s="44"/>
      <c r="I41" s="44"/>
      <c r="J41" s="44"/>
      <c r="K41" s="44"/>
      <c r="L41" s="44"/>
    </row>
    <row r="42" spans="1:20" x14ac:dyDescent="0.25">
      <c r="G42" s="44"/>
      <c r="H42" s="44"/>
      <c r="I42" s="44"/>
      <c r="J42" s="44"/>
      <c r="K42" s="44"/>
      <c r="L42" s="44"/>
    </row>
    <row r="43" spans="1:20" x14ac:dyDescent="0.25">
      <c r="G43" s="5"/>
      <c r="H43" s="5"/>
      <c r="I43" s="5"/>
      <c r="J43" s="5"/>
      <c r="K43" s="5"/>
      <c r="L43" s="5"/>
    </row>
    <row r="45" spans="1:20" x14ac:dyDescent="0.25">
      <c r="A45" s="13" t="s">
        <v>935</v>
      </c>
      <c r="B45" t="s">
        <v>1000</v>
      </c>
      <c r="C45" t="s">
        <v>954</v>
      </c>
      <c r="D45">
        <v>1515</v>
      </c>
      <c r="E45" s="23">
        <v>0.91</v>
      </c>
      <c r="G45" t="s">
        <v>968</v>
      </c>
      <c r="H45" s="7">
        <v>63.125</v>
      </c>
      <c r="M45" s="10" t="s">
        <v>966</v>
      </c>
      <c r="N45" t="s">
        <v>1000</v>
      </c>
      <c r="O45" t="s">
        <v>242</v>
      </c>
      <c r="P45">
        <v>3365</v>
      </c>
      <c r="Q45" s="22">
        <v>0.92</v>
      </c>
      <c r="S45" t="s">
        <v>968</v>
      </c>
      <c r="T45" s="7">
        <v>88.55263157894737</v>
      </c>
    </row>
    <row r="46" spans="1:20" x14ac:dyDescent="0.25">
      <c r="A46" s="13" t="s">
        <v>935</v>
      </c>
      <c r="B46" t="s">
        <v>1011</v>
      </c>
      <c r="C46" t="s">
        <v>955</v>
      </c>
      <c r="D46">
        <v>1389</v>
      </c>
      <c r="E46" s="23">
        <v>0.94</v>
      </c>
      <c r="H46" s="7"/>
      <c r="M46" s="10" t="s">
        <v>966</v>
      </c>
      <c r="N46" t="s">
        <v>1012</v>
      </c>
      <c r="O46" t="s">
        <v>1001</v>
      </c>
      <c r="P46">
        <v>2469</v>
      </c>
      <c r="Q46" s="22">
        <v>0.94</v>
      </c>
    </row>
    <row r="47" spans="1:20" x14ac:dyDescent="0.25">
      <c r="A47" s="21"/>
      <c r="C47" t="s">
        <v>1001</v>
      </c>
      <c r="D47">
        <v>1141</v>
      </c>
      <c r="E47" s="23">
        <v>0.94</v>
      </c>
      <c r="H47" s="7"/>
      <c r="M47" s="21"/>
      <c r="O47" t="s">
        <v>955</v>
      </c>
      <c r="P47">
        <v>2180</v>
      </c>
      <c r="Q47" s="22">
        <v>0.93401885175664101</v>
      </c>
    </row>
    <row r="48" spans="1:20" x14ac:dyDescent="0.25">
      <c r="A48" s="21"/>
      <c r="E48" s="23"/>
      <c r="H48" s="7"/>
      <c r="Q48" s="22"/>
    </row>
    <row r="49" spans="1:20" x14ac:dyDescent="0.25">
      <c r="A49" s="13" t="s">
        <v>935</v>
      </c>
      <c r="B49" t="s">
        <v>1002</v>
      </c>
      <c r="C49" t="s">
        <v>954</v>
      </c>
      <c r="D49">
        <v>797</v>
      </c>
      <c r="E49" s="23">
        <v>0.94</v>
      </c>
      <c r="G49" t="s">
        <v>968</v>
      </c>
      <c r="H49" s="7">
        <v>33.208333333333336</v>
      </c>
      <c r="M49" s="10" t="s">
        <v>966</v>
      </c>
      <c r="N49" t="s">
        <v>1002</v>
      </c>
      <c r="O49" t="s">
        <v>242</v>
      </c>
      <c r="P49">
        <v>1676</v>
      </c>
      <c r="Q49" s="22">
        <v>0.94</v>
      </c>
      <c r="S49" t="s">
        <v>968</v>
      </c>
      <c r="T49" s="7">
        <v>44.10526315789474</v>
      </c>
    </row>
    <row r="50" spans="1:20" x14ac:dyDescent="0.25">
      <c r="A50" s="13" t="s">
        <v>935</v>
      </c>
      <c r="B50" t="s">
        <v>1003</v>
      </c>
      <c r="C50" t="s">
        <v>955</v>
      </c>
      <c r="D50">
        <v>666</v>
      </c>
      <c r="E50" s="23">
        <v>0.96</v>
      </c>
      <c r="H50" s="7"/>
      <c r="M50" s="10" t="s">
        <v>966</v>
      </c>
      <c r="N50" t="s">
        <v>1013</v>
      </c>
      <c r="O50" t="s">
        <v>1001</v>
      </c>
      <c r="P50">
        <v>1039</v>
      </c>
      <c r="Q50" s="22">
        <v>0.97</v>
      </c>
    </row>
    <row r="51" spans="1:20" x14ac:dyDescent="0.25">
      <c r="A51" s="21"/>
      <c r="H51" s="7"/>
      <c r="Q51" s="22"/>
    </row>
    <row r="52" spans="1:20" x14ac:dyDescent="0.25">
      <c r="A52" s="13" t="s">
        <v>935</v>
      </c>
      <c r="B52" t="s">
        <v>1004</v>
      </c>
      <c r="C52" t="s">
        <v>154</v>
      </c>
      <c r="D52">
        <v>112</v>
      </c>
      <c r="E52" s="23">
        <v>0.62</v>
      </c>
      <c r="G52" t="s">
        <v>968</v>
      </c>
      <c r="H52" s="7">
        <v>4.666666666666667</v>
      </c>
      <c r="M52" s="10" t="s">
        <v>966</v>
      </c>
      <c r="N52" t="s">
        <v>1004</v>
      </c>
      <c r="O52" t="s">
        <v>242</v>
      </c>
      <c r="P52">
        <v>340</v>
      </c>
      <c r="Q52" s="22">
        <v>0.85</v>
      </c>
      <c r="S52" t="s">
        <v>968</v>
      </c>
      <c r="T52" s="7">
        <v>8.9473684210526319</v>
      </c>
    </row>
    <row r="53" spans="1:20" x14ac:dyDescent="0.25">
      <c r="A53" s="13" t="s">
        <v>935</v>
      </c>
      <c r="B53" t="s">
        <v>1005</v>
      </c>
      <c r="C53" t="s">
        <v>1001</v>
      </c>
      <c r="D53">
        <v>56</v>
      </c>
      <c r="E53" s="23">
        <v>0.75</v>
      </c>
      <c r="H53" s="7"/>
      <c r="M53" s="10" t="s">
        <v>966</v>
      </c>
      <c r="N53" t="s">
        <v>1014</v>
      </c>
      <c r="O53" t="s">
        <v>242</v>
      </c>
      <c r="P53">
        <v>340</v>
      </c>
      <c r="Q53" s="22">
        <v>0.85</v>
      </c>
    </row>
    <row r="54" spans="1:20" x14ac:dyDescent="0.25">
      <c r="A54" s="21"/>
      <c r="H54" s="7"/>
      <c r="Q54" s="22"/>
    </row>
    <row r="55" spans="1:20" x14ac:dyDescent="0.25">
      <c r="A55" s="13" t="s">
        <v>935</v>
      </c>
      <c r="B55" t="s">
        <v>1006</v>
      </c>
      <c r="C55" t="s">
        <v>948</v>
      </c>
      <c r="D55">
        <v>39</v>
      </c>
      <c r="G55" t="s">
        <v>968</v>
      </c>
      <c r="H55" s="7">
        <v>1.625</v>
      </c>
      <c r="M55" s="10" t="s">
        <v>966</v>
      </c>
      <c r="N55" t="s">
        <v>1006</v>
      </c>
      <c r="O55" t="s">
        <v>965</v>
      </c>
      <c r="P55">
        <v>73</v>
      </c>
      <c r="Q55" s="22"/>
      <c r="S55" t="s">
        <v>968</v>
      </c>
      <c r="T55" s="7">
        <v>1.9210526315789473</v>
      </c>
    </row>
    <row r="56" spans="1:20" x14ac:dyDescent="0.25">
      <c r="C56" t="s">
        <v>967</v>
      </c>
      <c r="D56">
        <v>38</v>
      </c>
      <c r="H56" s="7">
        <v>1.5833333333333333</v>
      </c>
      <c r="M56" s="10" t="s">
        <v>966</v>
      </c>
      <c r="O56" t="s">
        <v>964</v>
      </c>
      <c r="P56">
        <v>67</v>
      </c>
      <c r="Q56" s="22"/>
      <c r="T56" s="7">
        <v>1.763157894736842</v>
      </c>
    </row>
    <row r="57" spans="1:20" x14ac:dyDescent="0.25">
      <c r="H57" s="7"/>
      <c r="M57" s="10" t="s">
        <v>966</v>
      </c>
      <c r="O57" t="s">
        <v>967</v>
      </c>
      <c r="P57">
        <v>64</v>
      </c>
      <c r="Q57" s="22"/>
      <c r="T57" s="7">
        <v>1.6842105263157894</v>
      </c>
    </row>
    <row r="58" spans="1:20" x14ac:dyDescent="0.25">
      <c r="A58" s="21"/>
      <c r="H58" s="7"/>
      <c r="M58" s="10" t="s">
        <v>966</v>
      </c>
      <c r="O58" t="s">
        <v>948</v>
      </c>
      <c r="P58">
        <v>59</v>
      </c>
      <c r="Q58" s="22"/>
      <c r="T58" s="7">
        <v>1.5526315789473684</v>
      </c>
    </row>
    <row r="59" spans="1:20" x14ac:dyDescent="0.25">
      <c r="H59" s="7"/>
      <c r="T59" s="7"/>
    </row>
    <row r="60" spans="1:20" x14ac:dyDescent="0.25">
      <c r="A60" s="13" t="s">
        <v>935</v>
      </c>
      <c r="B60" t="s">
        <v>1007</v>
      </c>
      <c r="C60" t="s">
        <v>955</v>
      </c>
      <c r="D60">
        <v>149</v>
      </c>
      <c r="G60" t="s">
        <v>968</v>
      </c>
      <c r="H60" s="7">
        <v>6.208333333333333</v>
      </c>
      <c r="M60" s="10" t="s">
        <v>966</v>
      </c>
      <c r="N60" t="s">
        <v>1007</v>
      </c>
      <c r="O60" t="s">
        <v>242</v>
      </c>
      <c r="P60">
        <v>378</v>
      </c>
      <c r="S60" t="s">
        <v>968</v>
      </c>
      <c r="T60" s="7">
        <v>9.9473684210526319</v>
      </c>
    </row>
    <row r="61" spans="1:20" x14ac:dyDescent="0.25">
      <c r="H61" s="7"/>
    </row>
    <row r="62" spans="1:20" x14ac:dyDescent="0.25">
      <c r="A62" s="13" t="s">
        <v>935</v>
      </c>
      <c r="B62" t="s">
        <v>1008</v>
      </c>
      <c r="C62" t="s">
        <v>954</v>
      </c>
      <c r="D62">
        <v>163</v>
      </c>
      <c r="G62" t="s">
        <v>968</v>
      </c>
      <c r="H62" s="7">
        <v>6.791666666666667</v>
      </c>
      <c r="M62" s="10" t="s">
        <v>966</v>
      </c>
      <c r="N62" t="s">
        <v>1008</v>
      </c>
      <c r="O62" t="s">
        <v>242</v>
      </c>
      <c r="P62">
        <v>376</v>
      </c>
      <c r="S62" s="7" t="s">
        <v>968</v>
      </c>
      <c r="T62" s="7">
        <v>9.8947368421052637</v>
      </c>
    </row>
    <row r="63" spans="1:20" x14ac:dyDescent="0.25">
      <c r="S63" s="7"/>
    </row>
    <row r="64" spans="1:20" x14ac:dyDescent="0.25">
      <c r="A64" s="13" t="s">
        <v>935</v>
      </c>
      <c r="B64" t="s">
        <v>946</v>
      </c>
      <c r="C64" t="s">
        <v>947</v>
      </c>
      <c r="D64">
        <v>6</v>
      </c>
      <c r="G64" t="s">
        <v>968</v>
      </c>
      <c r="H64">
        <v>0.25</v>
      </c>
      <c r="M64" s="10" t="s">
        <v>966</v>
      </c>
      <c r="N64" t="s">
        <v>946</v>
      </c>
      <c r="O64" t="s">
        <v>948</v>
      </c>
      <c r="P64">
        <v>10</v>
      </c>
      <c r="R64" s="7"/>
      <c r="S64" t="s">
        <v>968</v>
      </c>
      <c r="T64" s="7">
        <v>0.26315789473684209</v>
      </c>
    </row>
    <row r="65" spans="1:20" x14ac:dyDescent="0.25">
      <c r="C65" t="s">
        <v>948</v>
      </c>
      <c r="D65">
        <v>6</v>
      </c>
      <c r="H65">
        <v>0.25</v>
      </c>
      <c r="O65" t="s">
        <v>967</v>
      </c>
      <c r="P65">
        <v>9</v>
      </c>
      <c r="R65" s="7"/>
      <c r="T65" s="7">
        <v>0.23684210526315788</v>
      </c>
    </row>
    <row r="66" spans="1:20" x14ac:dyDescent="0.25">
      <c r="O66" t="s">
        <v>242</v>
      </c>
      <c r="P66">
        <v>9</v>
      </c>
      <c r="R66" s="7"/>
      <c r="T66" s="7">
        <v>0.23684210526315788</v>
      </c>
    </row>
    <row r="67" spans="1:20" x14ac:dyDescent="0.25">
      <c r="H67" s="43" t="s">
        <v>1020</v>
      </c>
      <c r="I67" s="44"/>
      <c r="J67" s="44"/>
      <c r="K67" s="44"/>
      <c r="L67" s="44"/>
      <c r="M67" s="44"/>
      <c r="R67" s="7"/>
      <c r="T67" s="7"/>
    </row>
    <row r="68" spans="1:20" x14ac:dyDescent="0.25">
      <c r="H68" s="44"/>
      <c r="I68" s="44"/>
      <c r="J68" s="44"/>
      <c r="K68" s="44"/>
      <c r="L68" s="44"/>
      <c r="M68" s="44"/>
      <c r="R68" s="7"/>
      <c r="T68" s="7"/>
    </row>
    <row r="69" spans="1:20" x14ac:dyDescent="0.25">
      <c r="A69" s="21"/>
      <c r="G69" s="7"/>
      <c r="H69" s="44"/>
      <c r="I69" s="44"/>
      <c r="J69" s="44"/>
      <c r="K69" s="44"/>
      <c r="L69" s="44"/>
      <c r="M69" s="44"/>
    </row>
    <row r="70" spans="1:20" x14ac:dyDescent="0.25">
      <c r="A70" s="21"/>
      <c r="G70" s="7"/>
    </row>
    <row r="71" spans="1:20" x14ac:dyDescent="0.25">
      <c r="A71" s="13" t="s">
        <v>935</v>
      </c>
      <c r="B71" t="s">
        <v>1028</v>
      </c>
      <c r="C71" t="s">
        <v>937</v>
      </c>
      <c r="D71">
        <v>90</v>
      </c>
      <c r="F71" t="s">
        <v>968</v>
      </c>
      <c r="G71" s="7">
        <v>3.75</v>
      </c>
      <c r="M71" s="10" t="s">
        <v>966</v>
      </c>
      <c r="N71" t="s">
        <v>1028</v>
      </c>
      <c r="O71" t="s">
        <v>937</v>
      </c>
      <c r="P71">
        <v>113</v>
      </c>
      <c r="R71" t="s">
        <v>968</v>
      </c>
      <c r="S71" s="7">
        <v>2.9736842105263159</v>
      </c>
    </row>
    <row r="72" spans="1:20" x14ac:dyDescent="0.25">
      <c r="C72" t="s">
        <v>965</v>
      </c>
      <c r="D72">
        <v>45</v>
      </c>
      <c r="F72" t="s">
        <v>968</v>
      </c>
      <c r="G72" s="7">
        <v>1.875</v>
      </c>
      <c r="M72" s="10" t="s">
        <v>966</v>
      </c>
      <c r="O72" t="s">
        <v>965</v>
      </c>
      <c r="P72">
        <v>105</v>
      </c>
      <c r="R72" t="s">
        <v>968</v>
      </c>
      <c r="S72" s="7">
        <v>2.763157894736842</v>
      </c>
    </row>
    <row r="73" spans="1:20" x14ac:dyDescent="0.25">
      <c r="G73" s="22"/>
      <c r="S73" s="7"/>
    </row>
    <row r="74" spans="1:20" x14ac:dyDescent="0.25">
      <c r="A74" s="13" t="s">
        <v>935</v>
      </c>
      <c r="B74" t="s">
        <v>1029</v>
      </c>
      <c r="C74" t="s">
        <v>937</v>
      </c>
      <c r="D74">
        <v>50</v>
      </c>
      <c r="F74" t="s">
        <v>968</v>
      </c>
      <c r="G74" s="7">
        <v>2.0833333333333335</v>
      </c>
      <c r="M74" s="10" t="s">
        <v>966</v>
      </c>
      <c r="N74" t="s">
        <v>1029</v>
      </c>
      <c r="O74" t="s">
        <v>937</v>
      </c>
      <c r="P74">
        <v>50</v>
      </c>
      <c r="R74" t="s">
        <v>968</v>
      </c>
      <c r="S74" s="7">
        <v>1.3157894736842106</v>
      </c>
    </row>
    <row r="75" spans="1:20" x14ac:dyDescent="0.25">
      <c r="A75" s="13" t="s">
        <v>935</v>
      </c>
      <c r="C75" t="s">
        <v>947</v>
      </c>
      <c r="D75">
        <v>15</v>
      </c>
      <c r="F75" t="s">
        <v>968</v>
      </c>
      <c r="G75" s="7">
        <v>0.625</v>
      </c>
      <c r="M75" s="10" t="s">
        <v>966</v>
      </c>
      <c r="O75" t="s">
        <v>965</v>
      </c>
      <c r="P75">
        <v>48</v>
      </c>
      <c r="R75" t="s">
        <v>968</v>
      </c>
      <c r="S75" s="7">
        <v>1.263157894736842</v>
      </c>
    </row>
    <row r="76" spans="1:20" x14ac:dyDescent="0.25">
      <c r="A76" s="13" t="s">
        <v>935</v>
      </c>
      <c r="C76" t="s">
        <v>965</v>
      </c>
      <c r="D76">
        <v>14</v>
      </c>
      <c r="F76" t="s">
        <v>968</v>
      </c>
      <c r="G76" s="7">
        <v>0.58333333333333337</v>
      </c>
      <c r="S76" s="7"/>
    </row>
    <row r="77" spans="1:20" x14ac:dyDescent="0.25">
      <c r="G77" s="7"/>
      <c r="P77" s="22"/>
      <c r="S77" s="7"/>
    </row>
    <row r="78" spans="1:20" x14ac:dyDescent="0.25">
      <c r="A78" s="13" t="s">
        <v>935</v>
      </c>
      <c r="B78" t="s">
        <v>1030</v>
      </c>
      <c r="C78" t="s">
        <v>965</v>
      </c>
      <c r="D78" s="22">
        <v>0.5</v>
      </c>
      <c r="G78" s="7"/>
      <c r="M78" s="10" t="s">
        <v>966</v>
      </c>
      <c r="N78" t="s">
        <v>1033</v>
      </c>
      <c r="O78" t="s">
        <v>937</v>
      </c>
      <c r="P78" s="22">
        <v>0.54</v>
      </c>
      <c r="S78" s="7"/>
    </row>
    <row r="79" spans="1:20" x14ac:dyDescent="0.25">
      <c r="G79" s="7"/>
      <c r="S79" s="7"/>
    </row>
    <row r="80" spans="1:20" x14ac:dyDescent="0.25">
      <c r="A80" s="13" t="s">
        <v>935</v>
      </c>
      <c r="B80" t="s">
        <v>1031</v>
      </c>
      <c r="D80">
        <v>400</v>
      </c>
      <c r="F80" t="s">
        <v>968</v>
      </c>
      <c r="G80" s="7">
        <v>16.666666666666668</v>
      </c>
      <c r="M80" s="10" t="s">
        <v>966</v>
      </c>
      <c r="N80" t="s">
        <v>1031</v>
      </c>
      <c r="P80">
        <v>683</v>
      </c>
      <c r="R80" t="s">
        <v>968</v>
      </c>
      <c r="S80" s="7">
        <v>17.973684210526315</v>
      </c>
    </row>
    <row r="81" spans="1:19" x14ac:dyDescent="0.25">
      <c r="A81" s="13" t="s">
        <v>935</v>
      </c>
      <c r="B81" t="s">
        <v>1032</v>
      </c>
      <c r="D81">
        <v>141</v>
      </c>
      <c r="F81" t="s">
        <v>968</v>
      </c>
      <c r="G81" s="7">
        <v>5.875</v>
      </c>
      <c r="M81" s="10" t="s">
        <v>966</v>
      </c>
      <c r="N81" t="s">
        <v>1032</v>
      </c>
      <c r="P81">
        <v>264</v>
      </c>
      <c r="R81" t="s">
        <v>968</v>
      </c>
      <c r="S81" s="7">
        <v>6.9473684210526319</v>
      </c>
    </row>
    <row r="84" spans="1:19" ht="15" customHeight="1" x14ac:dyDescent="0.25">
      <c r="G84" s="43" t="s">
        <v>1070</v>
      </c>
      <c r="H84" s="43"/>
      <c r="I84" s="43"/>
      <c r="J84" s="43"/>
      <c r="K84" s="43"/>
      <c r="L84" s="43"/>
      <c r="M84" s="33"/>
    </row>
    <row r="85" spans="1:19" x14ac:dyDescent="0.25">
      <c r="G85" s="43"/>
      <c r="H85" s="43"/>
      <c r="I85" s="43"/>
      <c r="J85" s="43"/>
      <c r="K85" s="43"/>
      <c r="L85" s="43"/>
      <c r="M85" s="33"/>
    </row>
    <row r="86" spans="1:19" x14ac:dyDescent="0.25">
      <c r="G86" s="43"/>
      <c r="H86" s="43"/>
      <c r="I86" s="43"/>
      <c r="J86" s="43"/>
      <c r="K86" s="43"/>
      <c r="L86" s="43"/>
      <c r="M86" s="33"/>
    </row>
    <row r="87" spans="1:19" x14ac:dyDescent="0.25">
      <c r="S87" s="7"/>
    </row>
    <row r="88" spans="1:19" x14ac:dyDescent="0.25">
      <c r="A88" s="13" t="s">
        <v>935</v>
      </c>
      <c r="B88" t="s">
        <v>1055</v>
      </c>
      <c r="C88" t="s">
        <v>1056</v>
      </c>
      <c r="D88">
        <v>46</v>
      </c>
      <c r="F88" t="s">
        <v>968</v>
      </c>
      <c r="G88" s="7">
        <v>1.9166666666666667</v>
      </c>
      <c r="M88" s="10" t="s">
        <v>966</v>
      </c>
      <c r="N88" t="s">
        <v>1055</v>
      </c>
      <c r="O88" t="s">
        <v>242</v>
      </c>
      <c r="P88">
        <v>70</v>
      </c>
      <c r="R88" t="s">
        <v>968</v>
      </c>
      <c r="S88" s="7">
        <v>1.8421052631578947</v>
      </c>
    </row>
    <row r="89" spans="1:19" x14ac:dyDescent="0.25">
      <c r="C89" t="s">
        <v>954</v>
      </c>
      <c r="D89">
        <v>36</v>
      </c>
      <c r="F89" t="s">
        <v>968</v>
      </c>
      <c r="G89" s="7">
        <v>1.5</v>
      </c>
      <c r="O89" t="s">
        <v>954</v>
      </c>
      <c r="P89">
        <v>55</v>
      </c>
      <c r="R89" t="s">
        <v>968</v>
      </c>
      <c r="S89" s="7">
        <v>1.4473684210526316</v>
      </c>
    </row>
    <row r="90" spans="1:19" x14ac:dyDescent="0.25">
      <c r="G90" s="7"/>
      <c r="S90" s="7"/>
    </row>
    <row r="91" spans="1:19" x14ac:dyDescent="0.25">
      <c r="A91" s="13" t="s">
        <v>935</v>
      </c>
      <c r="B91" t="s">
        <v>1058</v>
      </c>
      <c r="C91" t="s">
        <v>1056</v>
      </c>
      <c r="D91">
        <v>27</v>
      </c>
      <c r="F91" t="s">
        <v>968</v>
      </c>
      <c r="G91" s="7">
        <v>1.125</v>
      </c>
      <c r="M91" s="10" t="s">
        <v>966</v>
      </c>
      <c r="N91" t="s">
        <v>1058</v>
      </c>
      <c r="O91" t="s">
        <v>242</v>
      </c>
      <c r="P91">
        <v>43</v>
      </c>
      <c r="R91" t="s">
        <v>968</v>
      </c>
      <c r="S91" s="7">
        <v>1.131578947368421</v>
      </c>
    </row>
    <row r="92" spans="1:19" x14ac:dyDescent="0.25">
      <c r="C92" t="s">
        <v>967</v>
      </c>
      <c r="D92">
        <v>24</v>
      </c>
      <c r="F92" t="s">
        <v>968</v>
      </c>
      <c r="G92" s="7">
        <v>1</v>
      </c>
      <c r="O92" t="s">
        <v>954</v>
      </c>
      <c r="P92">
        <v>33</v>
      </c>
      <c r="R92" t="s">
        <v>968</v>
      </c>
      <c r="S92" s="7">
        <v>0.86842105263157898</v>
      </c>
    </row>
    <row r="93" spans="1:19" x14ac:dyDescent="0.25">
      <c r="G93" s="7"/>
      <c r="S93" s="7"/>
    </row>
    <row r="94" spans="1:19" x14ac:dyDescent="0.25">
      <c r="A94" s="13" t="s">
        <v>935</v>
      </c>
      <c r="B94" t="s">
        <v>1059</v>
      </c>
      <c r="C94" t="s">
        <v>967</v>
      </c>
      <c r="D94">
        <v>0.75</v>
      </c>
      <c r="F94" t="s">
        <v>968</v>
      </c>
      <c r="G94" s="7">
        <v>1.3333333333333333</v>
      </c>
      <c r="M94" s="10" t="s">
        <v>966</v>
      </c>
      <c r="N94" t="s">
        <v>1071</v>
      </c>
      <c r="O94" t="s">
        <v>955</v>
      </c>
      <c r="P94">
        <v>0.67</v>
      </c>
      <c r="R94" t="s">
        <v>968</v>
      </c>
      <c r="S94" s="7">
        <v>1.1052631578947369</v>
      </c>
    </row>
    <row r="95" spans="1:19" x14ac:dyDescent="0.25">
      <c r="G95" s="7"/>
      <c r="S95" s="7"/>
    </row>
    <row r="96" spans="1:19" x14ac:dyDescent="0.25">
      <c r="A96" s="13" t="s">
        <v>935</v>
      </c>
      <c r="B96" t="s">
        <v>1060</v>
      </c>
      <c r="C96" t="s">
        <v>954</v>
      </c>
      <c r="D96">
        <v>16</v>
      </c>
      <c r="F96" t="s">
        <v>968</v>
      </c>
      <c r="G96" s="7">
        <v>0.66666666666666663</v>
      </c>
      <c r="M96" s="10" t="s">
        <v>966</v>
      </c>
      <c r="N96" t="s">
        <v>1060</v>
      </c>
      <c r="O96" t="s">
        <v>242</v>
      </c>
      <c r="P96">
        <v>25</v>
      </c>
      <c r="R96" t="s">
        <v>968</v>
      </c>
      <c r="S96" s="7">
        <v>0.65789473684210531</v>
      </c>
    </row>
    <row r="97" spans="1:19" x14ac:dyDescent="0.25">
      <c r="A97" s="13" t="s">
        <v>935</v>
      </c>
      <c r="B97" t="s">
        <v>1061</v>
      </c>
      <c r="C97" t="s">
        <v>1056</v>
      </c>
      <c r="D97">
        <v>26</v>
      </c>
      <c r="F97" t="s">
        <v>968</v>
      </c>
      <c r="G97" s="7">
        <v>1.0833333333333333</v>
      </c>
      <c r="M97" s="10" t="s">
        <v>966</v>
      </c>
      <c r="N97" t="s">
        <v>1061</v>
      </c>
      <c r="O97" t="s">
        <v>242</v>
      </c>
      <c r="P97">
        <v>33</v>
      </c>
      <c r="R97" t="s">
        <v>968</v>
      </c>
      <c r="S97" s="7">
        <v>0.86842105263157898</v>
      </c>
    </row>
    <row r="98" spans="1:19" x14ac:dyDescent="0.25">
      <c r="G98" s="7"/>
      <c r="S98" s="7"/>
    </row>
    <row r="99" spans="1:19" x14ac:dyDescent="0.25">
      <c r="A99" s="13" t="s">
        <v>935</v>
      </c>
      <c r="B99" t="s">
        <v>1062</v>
      </c>
      <c r="C99" t="s">
        <v>1056</v>
      </c>
      <c r="D99">
        <v>22</v>
      </c>
      <c r="F99" t="s">
        <v>968</v>
      </c>
      <c r="G99" s="7">
        <v>0.91666666666666663</v>
      </c>
      <c r="M99" s="10" t="s">
        <v>966</v>
      </c>
      <c r="N99" t="s">
        <v>1062</v>
      </c>
      <c r="O99" t="s">
        <v>242</v>
      </c>
      <c r="P99">
        <v>29</v>
      </c>
      <c r="R99" t="s">
        <v>968</v>
      </c>
      <c r="S99" s="7">
        <v>0.76315789473684215</v>
      </c>
    </row>
    <row r="100" spans="1:19" x14ac:dyDescent="0.25">
      <c r="C100" t="s">
        <v>967</v>
      </c>
      <c r="D100">
        <v>18</v>
      </c>
      <c r="F100" t="s">
        <v>968</v>
      </c>
      <c r="G100" s="7">
        <v>0.75</v>
      </c>
      <c r="O100" t="s">
        <v>967</v>
      </c>
      <c r="P100">
        <v>25</v>
      </c>
      <c r="R100" t="s">
        <v>968</v>
      </c>
      <c r="S100" s="7">
        <v>0.65789473684210531</v>
      </c>
    </row>
    <row r="101" spans="1:19" x14ac:dyDescent="0.25">
      <c r="G101" s="7"/>
      <c r="S101" s="7"/>
    </row>
    <row r="102" spans="1:19" x14ac:dyDescent="0.25">
      <c r="A102" s="13" t="s">
        <v>935</v>
      </c>
      <c r="B102" t="s">
        <v>1063</v>
      </c>
      <c r="C102" t="s">
        <v>1056</v>
      </c>
      <c r="D102">
        <v>26</v>
      </c>
      <c r="F102" t="s">
        <v>968</v>
      </c>
      <c r="G102" s="7">
        <v>1.0833333333333333</v>
      </c>
      <c r="M102" s="10" t="s">
        <v>966</v>
      </c>
      <c r="N102" t="s">
        <v>1063</v>
      </c>
      <c r="O102" t="s">
        <v>967</v>
      </c>
      <c r="P102">
        <v>32</v>
      </c>
      <c r="R102" t="s">
        <v>968</v>
      </c>
      <c r="S102" s="7">
        <v>0.84210526315789469</v>
      </c>
    </row>
    <row r="103" spans="1:19" x14ac:dyDescent="0.25">
      <c r="G103" s="7"/>
      <c r="S103" s="7"/>
    </row>
    <row r="104" spans="1:19" x14ac:dyDescent="0.25">
      <c r="A104" s="13" t="s">
        <v>935</v>
      </c>
      <c r="B104" t="s">
        <v>1064</v>
      </c>
      <c r="C104" t="s">
        <v>954</v>
      </c>
      <c r="D104">
        <v>13</v>
      </c>
      <c r="F104" t="s">
        <v>968</v>
      </c>
      <c r="G104" s="7">
        <v>0.54166666666666663</v>
      </c>
      <c r="M104" s="10" t="s">
        <v>966</v>
      </c>
      <c r="N104" t="s">
        <v>1064</v>
      </c>
      <c r="O104" t="s">
        <v>1072</v>
      </c>
      <c r="P104">
        <v>17</v>
      </c>
      <c r="R104" t="s">
        <v>968</v>
      </c>
      <c r="S104" s="7">
        <v>0.44736842105263158</v>
      </c>
    </row>
    <row r="105" spans="1:19" x14ac:dyDescent="0.25">
      <c r="A105" s="13" t="s">
        <v>935</v>
      </c>
      <c r="B105" t="s">
        <v>1065</v>
      </c>
      <c r="C105" t="s">
        <v>967</v>
      </c>
      <c r="D105">
        <v>17</v>
      </c>
      <c r="F105" t="s">
        <v>968</v>
      </c>
      <c r="G105" s="7">
        <v>0.70833333333333337</v>
      </c>
      <c r="M105" s="10" t="s">
        <v>966</v>
      </c>
      <c r="N105" t="s">
        <v>1065</v>
      </c>
      <c r="O105" t="s">
        <v>965</v>
      </c>
      <c r="P105">
        <v>30</v>
      </c>
      <c r="R105" t="s">
        <v>968</v>
      </c>
      <c r="S105" s="7">
        <v>0.78947368421052633</v>
      </c>
    </row>
    <row r="106" spans="1:19" x14ac:dyDescent="0.25">
      <c r="C106" t="s">
        <v>1066</v>
      </c>
      <c r="D106">
        <v>16</v>
      </c>
      <c r="F106" t="s">
        <v>968</v>
      </c>
      <c r="G106" s="7">
        <v>0.66666666666666663</v>
      </c>
      <c r="O106" t="s">
        <v>1073</v>
      </c>
      <c r="P106">
        <v>30</v>
      </c>
      <c r="R106" t="s">
        <v>968</v>
      </c>
      <c r="S106" s="7">
        <v>0.78947368421052633</v>
      </c>
    </row>
    <row r="107" spans="1:19" x14ac:dyDescent="0.25">
      <c r="G107" s="7"/>
      <c r="O107" t="s">
        <v>1074</v>
      </c>
      <c r="P107">
        <v>28</v>
      </c>
      <c r="R107" t="s">
        <v>968</v>
      </c>
      <c r="S107" s="7">
        <v>0.73684210526315785</v>
      </c>
    </row>
    <row r="108" spans="1:19" x14ac:dyDescent="0.25">
      <c r="A108" s="21"/>
      <c r="G108" s="7"/>
      <c r="S108" s="7"/>
    </row>
    <row r="109" spans="1:19" x14ac:dyDescent="0.25">
      <c r="A109" s="13" t="s">
        <v>935</v>
      </c>
      <c r="B109" t="s">
        <v>1067</v>
      </c>
      <c r="C109" t="s">
        <v>954</v>
      </c>
      <c r="D109">
        <v>25</v>
      </c>
      <c r="F109" t="s">
        <v>968</v>
      </c>
      <c r="G109" s="7">
        <v>1.0416666666666667</v>
      </c>
      <c r="M109" s="10" t="s">
        <v>966</v>
      </c>
      <c r="N109" t="s">
        <v>1067</v>
      </c>
      <c r="O109" t="s">
        <v>1072</v>
      </c>
      <c r="P109">
        <v>30</v>
      </c>
      <c r="R109" t="s">
        <v>968</v>
      </c>
      <c r="S109" s="7">
        <v>0.78947368421052633</v>
      </c>
    </row>
    <row r="110" spans="1:19" x14ac:dyDescent="0.25">
      <c r="A110" s="21"/>
      <c r="G110" s="7"/>
      <c r="O110" t="s">
        <v>954</v>
      </c>
      <c r="P110">
        <v>27</v>
      </c>
      <c r="R110" t="s">
        <v>968</v>
      </c>
      <c r="S110" s="7">
        <v>0.71052631578947367</v>
      </c>
    </row>
    <row r="111" spans="1:19" x14ac:dyDescent="0.25">
      <c r="A111" s="21"/>
      <c r="G111" s="7"/>
      <c r="O111" t="s">
        <v>1075</v>
      </c>
      <c r="P111">
        <v>27</v>
      </c>
      <c r="R111" t="s">
        <v>968</v>
      </c>
      <c r="S111" s="7">
        <v>0.71052631578947367</v>
      </c>
    </row>
    <row r="112" spans="1:19" x14ac:dyDescent="0.25">
      <c r="A112" s="21"/>
      <c r="G112" s="7"/>
      <c r="S112" s="7"/>
    </row>
    <row r="113" spans="1:19" x14ac:dyDescent="0.25">
      <c r="A113" s="13" t="s">
        <v>935</v>
      </c>
      <c r="B113" t="s">
        <v>1068</v>
      </c>
      <c r="C113" t="s">
        <v>954</v>
      </c>
      <c r="D113">
        <v>68</v>
      </c>
      <c r="F113" t="s">
        <v>968</v>
      </c>
      <c r="G113" s="7">
        <v>2.8333333333333335</v>
      </c>
      <c r="M113" s="10" t="s">
        <v>966</v>
      </c>
      <c r="N113" t="s">
        <v>1068</v>
      </c>
      <c r="O113" t="s">
        <v>1072</v>
      </c>
      <c r="P113">
        <v>77</v>
      </c>
      <c r="R113" t="s">
        <v>968</v>
      </c>
      <c r="S113" s="7">
        <v>2.0263157894736841</v>
      </c>
    </row>
    <row r="114" spans="1:19" x14ac:dyDescent="0.25">
      <c r="A114" s="21"/>
      <c r="G114" s="7"/>
      <c r="S114" s="7"/>
    </row>
    <row r="115" spans="1:19" x14ac:dyDescent="0.25">
      <c r="A115" s="13" t="s">
        <v>935</v>
      </c>
      <c r="B115" t="s">
        <v>1069</v>
      </c>
      <c r="C115" t="s">
        <v>954</v>
      </c>
      <c r="D115">
        <v>5</v>
      </c>
      <c r="F115" t="s">
        <v>968</v>
      </c>
      <c r="G115" s="7">
        <v>0.20833333333333334</v>
      </c>
      <c r="M115" s="10" t="s">
        <v>966</v>
      </c>
      <c r="N115" t="s">
        <v>1069</v>
      </c>
      <c r="O115" t="s">
        <v>242</v>
      </c>
      <c r="P115">
        <v>4</v>
      </c>
      <c r="R115" t="s">
        <v>968</v>
      </c>
      <c r="S115" s="7">
        <v>0.10526315789473684</v>
      </c>
    </row>
    <row r="116" spans="1:19" x14ac:dyDescent="0.25">
      <c r="G116" s="7"/>
      <c r="O116" t="s">
        <v>954</v>
      </c>
      <c r="P116">
        <v>3</v>
      </c>
      <c r="R116" t="s">
        <v>968</v>
      </c>
      <c r="S116" s="7">
        <v>7.8947368421052627E-2</v>
      </c>
    </row>
    <row r="117" spans="1:19" x14ac:dyDescent="0.25">
      <c r="S117" s="7"/>
    </row>
    <row r="118" spans="1:19" x14ac:dyDescent="0.25">
      <c r="G118" s="43" t="s">
        <v>1109</v>
      </c>
      <c r="H118" s="43"/>
      <c r="I118" s="43"/>
      <c r="J118" s="43"/>
      <c r="K118" s="43"/>
      <c r="L118" s="43"/>
      <c r="S118" s="7"/>
    </row>
    <row r="119" spans="1:19" x14ac:dyDescent="0.25">
      <c r="G119" s="43"/>
      <c r="H119" s="43"/>
      <c r="I119" s="43"/>
      <c r="J119" s="43"/>
      <c r="K119" s="43"/>
      <c r="L119" s="43"/>
      <c r="S119" s="7"/>
    </row>
    <row r="120" spans="1:19" x14ac:dyDescent="0.25">
      <c r="G120" s="43"/>
      <c r="H120" s="43"/>
      <c r="I120" s="43"/>
      <c r="J120" s="43"/>
      <c r="K120" s="43"/>
      <c r="L120" s="43"/>
      <c r="S120" s="7"/>
    </row>
    <row r="121" spans="1:19" x14ac:dyDescent="0.25">
      <c r="A121" s="13" t="s">
        <v>935</v>
      </c>
      <c r="B121" t="s">
        <v>1107</v>
      </c>
      <c r="C121">
        <v>15</v>
      </c>
      <c r="G121" s="7"/>
      <c r="M121" s="10" t="s">
        <v>966</v>
      </c>
      <c r="N121" t="s">
        <v>1107</v>
      </c>
      <c r="O121">
        <v>33</v>
      </c>
      <c r="S121" s="7"/>
    </row>
    <row r="122" spans="1:19" x14ac:dyDescent="0.25">
      <c r="A122" s="13" t="s">
        <v>935</v>
      </c>
      <c r="B122" t="s">
        <v>1108</v>
      </c>
      <c r="C122">
        <v>9</v>
      </c>
      <c r="G122" s="7"/>
      <c r="N122" t="s">
        <v>1108</v>
      </c>
      <c r="O122">
        <v>9</v>
      </c>
      <c r="S122" s="7"/>
    </row>
    <row r="123" spans="1:19" x14ac:dyDescent="0.25">
      <c r="G123" s="7"/>
      <c r="S123" s="7"/>
    </row>
    <row r="124" spans="1:19" x14ac:dyDescent="0.25">
      <c r="A124" s="13" t="s">
        <v>935</v>
      </c>
      <c r="B124" t="s">
        <v>1102</v>
      </c>
      <c r="C124" t="s">
        <v>154</v>
      </c>
      <c r="D124">
        <v>20</v>
      </c>
      <c r="F124" t="s">
        <v>968</v>
      </c>
      <c r="G124" s="7">
        <v>1.3333333333333333</v>
      </c>
      <c r="M124" s="10" t="s">
        <v>966</v>
      </c>
      <c r="N124" t="s">
        <v>1102</v>
      </c>
      <c r="O124" t="s">
        <v>154</v>
      </c>
      <c r="P124">
        <v>27</v>
      </c>
      <c r="R124" t="s">
        <v>968</v>
      </c>
      <c r="S124" s="7">
        <v>0.81818181818181823</v>
      </c>
    </row>
    <row r="125" spans="1:19" x14ac:dyDescent="0.25">
      <c r="C125" t="s">
        <v>1103</v>
      </c>
      <c r="D125">
        <v>15</v>
      </c>
      <c r="F125" t="s">
        <v>968</v>
      </c>
      <c r="G125" s="7">
        <v>1.6666666666666667</v>
      </c>
      <c r="O125" t="s">
        <v>1103</v>
      </c>
      <c r="P125">
        <v>7</v>
      </c>
      <c r="R125" t="s">
        <v>968</v>
      </c>
      <c r="S125" s="7">
        <v>0.77777777777777779</v>
      </c>
    </row>
    <row r="126" spans="1:19" x14ac:dyDescent="0.25">
      <c r="G126" s="7"/>
      <c r="S126" s="7"/>
    </row>
    <row r="127" spans="1:19" x14ac:dyDescent="0.25">
      <c r="A127" s="13" t="s">
        <v>935</v>
      </c>
      <c r="B127" t="s">
        <v>1110</v>
      </c>
      <c r="C127" t="s">
        <v>154</v>
      </c>
      <c r="D127">
        <v>55</v>
      </c>
      <c r="F127" t="s">
        <v>968</v>
      </c>
      <c r="G127" s="7">
        <v>3.6666666666666665</v>
      </c>
      <c r="M127" s="10" t="s">
        <v>966</v>
      </c>
      <c r="N127" t="s">
        <v>1110</v>
      </c>
      <c r="O127" t="s">
        <v>154</v>
      </c>
      <c r="P127">
        <v>82</v>
      </c>
      <c r="R127" t="s">
        <v>968</v>
      </c>
      <c r="S127" s="7">
        <v>2.4848484848484849</v>
      </c>
    </row>
    <row r="128" spans="1:19" x14ac:dyDescent="0.25">
      <c r="C128" t="s">
        <v>1103</v>
      </c>
      <c r="D128">
        <v>41</v>
      </c>
      <c r="F128" t="s">
        <v>968</v>
      </c>
      <c r="G128" s="7">
        <v>4.5555555555555554</v>
      </c>
      <c r="O128" t="s">
        <v>1103</v>
      </c>
      <c r="P128">
        <v>27</v>
      </c>
      <c r="R128" t="s">
        <v>968</v>
      </c>
      <c r="S128" s="7">
        <v>3</v>
      </c>
    </row>
    <row r="129" spans="1:19" x14ac:dyDescent="0.25">
      <c r="G129" s="7"/>
      <c r="S129" s="7"/>
    </row>
    <row r="130" spans="1:19" x14ac:dyDescent="0.25">
      <c r="A130" s="13" t="s">
        <v>935</v>
      </c>
      <c r="B130" t="s">
        <v>1085</v>
      </c>
      <c r="C130" t="s">
        <v>154</v>
      </c>
      <c r="D130">
        <v>32</v>
      </c>
      <c r="F130" t="s">
        <v>968</v>
      </c>
      <c r="G130" s="7">
        <v>2.1333333333333333</v>
      </c>
      <c r="M130" s="10" t="s">
        <v>966</v>
      </c>
      <c r="N130" t="s">
        <v>1085</v>
      </c>
      <c r="O130" t="s">
        <v>154</v>
      </c>
      <c r="P130">
        <v>56</v>
      </c>
      <c r="R130" t="s">
        <v>968</v>
      </c>
      <c r="S130" s="7">
        <v>1.696969696969697</v>
      </c>
    </row>
    <row r="131" spans="1:19" x14ac:dyDescent="0.25">
      <c r="C131" t="s">
        <v>1103</v>
      </c>
      <c r="D131">
        <v>26</v>
      </c>
      <c r="F131" t="s">
        <v>968</v>
      </c>
      <c r="G131" s="7">
        <v>2.8888888888888888</v>
      </c>
      <c r="O131" t="s">
        <v>1103</v>
      </c>
      <c r="P131">
        <v>20</v>
      </c>
      <c r="R131" t="s">
        <v>968</v>
      </c>
      <c r="S131" s="7">
        <v>2.2222222222222223</v>
      </c>
    </row>
    <row r="132" spans="1:19" x14ac:dyDescent="0.25">
      <c r="G132" s="7"/>
      <c r="S132" s="7"/>
    </row>
    <row r="133" spans="1:19" x14ac:dyDescent="0.25">
      <c r="A133" s="13" t="s">
        <v>935</v>
      </c>
      <c r="B133" t="s">
        <v>564</v>
      </c>
      <c r="C133" t="s">
        <v>154</v>
      </c>
      <c r="D133">
        <v>21.5</v>
      </c>
      <c r="F133" t="s">
        <v>968</v>
      </c>
      <c r="G133" s="7">
        <v>1.4333333333333333</v>
      </c>
      <c r="M133" s="10" t="s">
        <v>966</v>
      </c>
      <c r="N133" t="s">
        <v>564</v>
      </c>
      <c r="O133" t="s">
        <v>154</v>
      </c>
      <c r="P133">
        <v>27.2</v>
      </c>
      <c r="R133" t="s">
        <v>968</v>
      </c>
      <c r="S133" s="7">
        <v>0.82424242424242422</v>
      </c>
    </row>
    <row r="134" spans="1:19" x14ac:dyDescent="0.25">
      <c r="C134" t="s">
        <v>1103</v>
      </c>
      <c r="D134">
        <v>13.4</v>
      </c>
      <c r="F134" t="s">
        <v>968</v>
      </c>
      <c r="G134" s="7">
        <v>1.4888888888888889</v>
      </c>
      <c r="O134" t="s">
        <v>1103</v>
      </c>
      <c r="P134">
        <v>9</v>
      </c>
      <c r="R134" t="s">
        <v>968</v>
      </c>
      <c r="S134" s="7">
        <v>1</v>
      </c>
    </row>
    <row r="135" spans="1:19" x14ac:dyDescent="0.25">
      <c r="G135" s="7"/>
      <c r="S135" s="7"/>
    </row>
    <row r="136" spans="1:19" x14ac:dyDescent="0.25">
      <c r="A136" s="13" t="s">
        <v>935</v>
      </c>
      <c r="B136" t="s">
        <v>1105</v>
      </c>
      <c r="C136" t="s">
        <v>154</v>
      </c>
      <c r="D136" s="22">
        <v>0.58181818181818179</v>
      </c>
      <c r="G136" s="7"/>
      <c r="M136" s="10" t="s">
        <v>966</v>
      </c>
      <c r="N136" t="s">
        <v>1105</v>
      </c>
      <c r="O136" t="s">
        <v>154</v>
      </c>
      <c r="P136" s="22">
        <v>0.68</v>
      </c>
      <c r="S136" s="7"/>
    </row>
    <row r="137" spans="1:19" x14ac:dyDescent="0.25">
      <c r="C137" t="s">
        <v>1103</v>
      </c>
      <c r="D137" s="22">
        <v>0.63414634146341464</v>
      </c>
      <c r="G137" s="7"/>
      <c r="O137" t="s">
        <v>1103</v>
      </c>
      <c r="P137" s="22">
        <v>0.74</v>
      </c>
      <c r="S137" s="7"/>
    </row>
    <row r="138" spans="1:19" x14ac:dyDescent="0.25">
      <c r="G138" s="7"/>
      <c r="S138" s="7"/>
    </row>
    <row r="139" spans="1:19" x14ac:dyDescent="0.25">
      <c r="A139" s="13" t="s">
        <v>935</v>
      </c>
      <c r="B139" t="s">
        <v>1106</v>
      </c>
      <c r="C139" t="s">
        <v>154</v>
      </c>
      <c r="D139">
        <v>28</v>
      </c>
      <c r="F139" t="s">
        <v>968</v>
      </c>
      <c r="G139" s="7">
        <v>1.8666666666666667</v>
      </c>
      <c r="M139" s="10" t="s">
        <v>966</v>
      </c>
      <c r="N139" t="s">
        <v>1106</v>
      </c>
      <c r="O139" t="s">
        <v>154</v>
      </c>
      <c r="P139">
        <v>50</v>
      </c>
      <c r="R139" t="s">
        <v>968</v>
      </c>
      <c r="S139" s="7">
        <v>1.5151515151515151</v>
      </c>
    </row>
    <row r="140" spans="1:19" x14ac:dyDescent="0.25">
      <c r="C140" t="s">
        <v>1103</v>
      </c>
      <c r="D140">
        <v>9</v>
      </c>
      <c r="F140" t="s">
        <v>968</v>
      </c>
      <c r="G140" s="7">
        <v>1</v>
      </c>
      <c r="O140" t="s">
        <v>1103</v>
      </c>
      <c r="P140">
        <v>13</v>
      </c>
      <c r="R140" t="s">
        <v>968</v>
      </c>
      <c r="S140" s="7">
        <v>1.4444444444444444</v>
      </c>
    </row>
    <row r="141" spans="1:19" x14ac:dyDescent="0.25">
      <c r="G141" s="7"/>
      <c r="S141" s="7"/>
    </row>
    <row r="142" spans="1:19" x14ac:dyDescent="0.25">
      <c r="G142" s="7"/>
    </row>
    <row r="143" spans="1:19" x14ac:dyDescent="0.25">
      <c r="G143" s="7"/>
    </row>
  </sheetData>
  <mergeCells count="5">
    <mergeCell ref="G40:L42"/>
    <mergeCell ref="G1:L3"/>
    <mergeCell ref="H67:M69"/>
    <mergeCell ref="G84:L86"/>
    <mergeCell ref="G118:L120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D2A3-DD60-49EC-AC58-FE46F7F0557D}">
  <dimension ref="B2:I123"/>
  <sheetViews>
    <sheetView tabSelected="1" topLeftCell="A94" zoomScaleNormal="100" workbookViewId="0">
      <selection activeCell="K47" sqref="K47"/>
    </sheetView>
  </sheetViews>
  <sheetFormatPr defaultRowHeight="15" x14ac:dyDescent="0.25"/>
  <cols>
    <col min="2" max="2" width="15.85546875" customWidth="1"/>
    <col min="3" max="3" width="12.85546875" customWidth="1"/>
    <col min="4" max="4" width="17" customWidth="1"/>
    <col min="5" max="5" width="16" customWidth="1"/>
    <col min="6" max="6" width="12.7109375" customWidth="1"/>
    <col min="7" max="7" width="9.42578125" customWidth="1"/>
  </cols>
  <sheetData>
    <row r="2" spans="2:7" ht="15.75" x14ac:dyDescent="0.25">
      <c r="B2" s="16"/>
      <c r="C2" s="20" t="s">
        <v>978</v>
      </c>
      <c r="D2" s="20" t="s">
        <v>977</v>
      </c>
      <c r="E2" s="20" t="s">
        <v>975</v>
      </c>
      <c r="F2" s="20" t="s">
        <v>976</v>
      </c>
      <c r="G2" s="20" t="s">
        <v>937</v>
      </c>
    </row>
    <row r="3" spans="2:7" ht="15.75" x14ac:dyDescent="0.25">
      <c r="B3" s="17" t="s">
        <v>935</v>
      </c>
      <c r="C3" s="18">
        <v>2</v>
      </c>
      <c r="D3" s="18">
        <v>1.4583333333333333</v>
      </c>
      <c r="E3" s="18">
        <v>1.84</v>
      </c>
      <c r="F3" s="18">
        <v>1.42</v>
      </c>
      <c r="G3" s="18">
        <v>0.79</v>
      </c>
    </row>
    <row r="4" spans="2:7" ht="15.75" x14ac:dyDescent="0.25">
      <c r="B4" s="19" t="s">
        <v>966</v>
      </c>
      <c r="C4" s="18">
        <v>2.5263157894736841</v>
      </c>
      <c r="D4" s="18">
        <v>0.89473684210526316</v>
      </c>
      <c r="E4" s="18">
        <v>2.11</v>
      </c>
      <c r="F4" s="18">
        <v>0.93</v>
      </c>
      <c r="G4" s="18">
        <v>0.87</v>
      </c>
    </row>
    <row r="5" spans="2:7" ht="15.75" x14ac:dyDescent="0.25">
      <c r="B5" s="15"/>
      <c r="C5" s="15"/>
      <c r="D5" s="15"/>
      <c r="E5" s="15"/>
      <c r="F5" s="15"/>
    </row>
    <row r="25" spans="2:6" ht="15.75" x14ac:dyDescent="0.25">
      <c r="B25" s="26"/>
      <c r="C25" s="28" t="s">
        <v>954</v>
      </c>
      <c r="D25" s="28" t="s">
        <v>954</v>
      </c>
      <c r="E25" s="28" t="s">
        <v>154</v>
      </c>
    </row>
    <row r="26" spans="2:6" ht="15.75" x14ac:dyDescent="0.25">
      <c r="B26" s="27"/>
      <c r="C26" s="20" t="s">
        <v>1015</v>
      </c>
      <c r="D26" s="20" t="s">
        <v>1016</v>
      </c>
      <c r="E26" s="20" t="s">
        <v>1017</v>
      </c>
    </row>
    <row r="27" spans="2:6" ht="15.75" x14ac:dyDescent="0.25">
      <c r="B27" s="17" t="s">
        <v>935</v>
      </c>
      <c r="C27" s="18">
        <v>65.86</v>
      </c>
      <c r="D27" s="18">
        <v>34.65</v>
      </c>
      <c r="E27" s="18">
        <v>7.46</v>
      </c>
      <c r="F27" s="15"/>
    </row>
    <row r="28" spans="2:6" ht="15.75" x14ac:dyDescent="0.25">
      <c r="B28" s="19" t="s">
        <v>966</v>
      </c>
      <c r="C28" s="18">
        <v>98.97</v>
      </c>
      <c r="D28" s="18">
        <v>49.29</v>
      </c>
      <c r="E28" s="18">
        <v>10</v>
      </c>
    </row>
    <row r="29" spans="2:6" ht="15.75" x14ac:dyDescent="0.25">
      <c r="B29" s="24"/>
      <c r="C29" s="25" t="s">
        <v>242</v>
      </c>
      <c r="D29" s="25" t="s">
        <v>242</v>
      </c>
      <c r="E29" s="25" t="s">
        <v>242</v>
      </c>
    </row>
    <row r="51" spans="2:4" ht="15.75" customHeight="1" x14ac:dyDescent="0.3">
      <c r="B51" s="45" t="s">
        <v>1018</v>
      </c>
      <c r="C51" s="45"/>
      <c r="D51" s="46"/>
    </row>
    <row r="52" spans="2:4" x14ac:dyDescent="0.25">
      <c r="B52" s="29"/>
      <c r="C52" s="29"/>
      <c r="D52" s="30"/>
    </row>
    <row r="53" spans="2:4" ht="15.75" x14ac:dyDescent="0.25">
      <c r="C53" s="17" t="s">
        <v>935</v>
      </c>
      <c r="D53" s="19" t="s">
        <v>966</v>
      </c>
    </row>
    <row r="54" spans="2:4" x14ac:dyDescent="0.25">
      <c r="B54" t="s">
        <v>965</v>
      </c>
      <c r="C54">
        <v>1.84</v>
      </c>
      <c r="D54" s="7">
        <v>2.08</v>
      </c>
    </row>
    <row r="55" spans="2:4" x14ac:dyDescent="0.25">
      <c r="B55" t="s">
        <v>964</v>
      </c>
      <c r="C55">
        <v>0</v>
      </c>
      <c r="D55" s="7">
        <v>1.86</v>
      </c>
    </row>
    <row r="56" spans="2:4" x14ac:dyDescent="0.25">
      <c r="B56" t="s">
        <v>967</v>
      </c>
      <c r="C56" s="7">
        <v>1.65</v>
      </c>
      <c r="D56" s="7">
        <v>1.93</v>
      </c>
    </row>
    <row r="57" spans="2:4" x14ac:dyDescent="0.25">
      <c r="B57" t="s">
        <v>948</v>
      </c>
      <c r="C57" s="7">
        <v>2.29</v>
      </c>
      <c r="D57" s="7">
        <v>3.27</v>
      </c>
    </row>
    <row r="77" spans="9:9" x14ac:dyDescent="0.25">
      <c r="I77" t="s">
        <v>1019</v>
      </c>
    </row>
    <row r="83" spans="2:4" ht="18.75" x14ac:dyDescent="0.3">
      <c r="B83" s="45" t="s">
        <v>1076</v>
      </c>
      <c r="C83" s="45"/>
      <c r="D83" s="46"/>
    </row>
    <row r="84" spans="2:4" x14ac:dyDescent="0.25">
      <c r="B84" s="29"/>
      <c r="C84" s="29"/>
      <c r="D84" s="30"/>
    </row>
    <row r="85" spans="2:4" ht="15.75" x14ac:dyDescent="0.25">
      <c r="C85" s="17" t="s">
        <v>935</v>
      </c>
      <c r="D85" s="19" t="s">
        <v>966</v>
      </c>
    </row>
    <row r="86" spans="2:4" x14ac:dyDescent="0.25">
      <c r="B86" s="1" t="s">
        <v>540</v>
      </c>
      <c r="C86" s="7">
        <f>315/24</f>
        <v>13.125</v>
      </c>
      <c r="D86" s="7">
        <f>517/38</f>
        <v>13.605263157894736</v>
      </c>
    </row>
    <row r="87" spans="2:4" x14ac:dyDescent="0.25">
      <c r="B87" s="1" t="s">
        <v>1034</v>
      </c>
      <c r="C87" s="7">
        <f>191/24</f>
        <v>7.958333333333333</v>
      </c>
      <c r="D87" s="7">
        <f>305/38</f>
        <v>8.026315789473685</v>
      </c>
    </row>
    <row r="88" spans="2:4" x14ac:dyDescent="0.25">
      <c r="B88" s="1" t="s">
        <v>541</v>
      </c>
      <c r="C88" s="7">
        <f>207/24</f>
        <v>8.625</v>
      </c>
      <c r="D88" s="7">
        <f>353/38</f>
        <v>9.2894736842105257</v>
      </c>
    </row>
    <row r="89" spans="2:4" x14ac:dyDescent="0.25">
      <c r="B89" s="1" t="s">
        <v>1041</v>
      </c>
      <c r="C89" s="7">
        <f>145/24</f>
        <v>6.041666666666667</v>
      </c>
      <c r="D89" s="7">
        <f>233/38</f>
        <v>6.1315789473684212</v>
      </c>
    </row>
    <row r="90" spans="2:4" x14ac:dyDescent="0.25">
      <c r="B90" s="1" t="s">
        <v>1042</v>
      </c>
      <c r="C90" s="7">
        <f>367/24</f>
        <v>15.291666666666666</v>
      </c>
      <c r="D90" s="7">
        <f>457/38</f>
        <v>12.026315789473685</v>
      </c>
    </row>
    <row r="109" spans="9:9" x14ac:dyDescent="0.25">
      <c r="I109" t="s">
        <v>1019</v>
      </c>
    </row>
    <row r="116" spans="2:4" ht="18.75" x14ac:dyDescent="0.3">
      <c r="B116" s="45" t="s">
        <v>1111</v>
      </c>
      <c r="C116" s="45"/>
      <c r="D116" s="46"/>
    </row>
    <row r="117" spans="2:4" x14ac:dyDescent="0.25">
      <c r="B117" s="29"/>
      <c r="C117" s="29"/>
      <c r="D117" s="30"/>
    </row>
    <row r="118" spans="2:4" ht="15.75" x14ac:dyDescent="0.25">
      <c r="C118" s="17" t="s">
        <v>935</v>
      </c>
      <c r="D118" s="19" t="s">
        <v>966</v>
      </c>
    </row>
    <row r="119" spans="2:4" x14ac:dyDescent="0.25">
      <c r="B119" s="1" t="s">
        <v>1112</v>
      </c>
      <c r="C119" s="7">
        <v>1.33</v>
      </c>
      <c r="D119" s="7">
        <v>0.82</v>
      </c>
    </row>
    <row r="120" spans="2:4" x14ac:dyDescent="0.25">
      <c r="B120" s="1" t="s">
        <v>1113</v>
      </c>
      <c r="C120" s="7">
        <v>3.67</v>
      </c>
      <c r="D120" s="7">
        <v>2.48</v>
      </c>
    </row>
    <row r="121" spans="2:4" x14ac:dyDescent="0.25">
      <c r="B121" s="1" t="s">
        <v>1085</v>
      </c>
      <c r="C121" s="7">
        <v>2.13</v>
      </c>
      <c r="D121" s="7">
        <v>1.7</v>
      </c>
    </row>
    <row r="122" spans="2:4" x14ac:dyDescent="0.25">
      <c r="B122" s="1" t="s">
        <v>564</v>
      </c>
      <c r="C122" s="7">
        <v>1.43</v>
      </c>
      <c r="D122" s="7">
        <v>0.82</v>
      </c>
    </row>
    <row r="123" spans="2:4" x14ac:dyDescent="0.25">
      <c r="B123" s="1" t="s">
        <v>1106</v>
      </c>
      <c r="C123" s="7">
        <v>1.87</v>
      </c>
      <c r="D123" s="7">
        <v>1.52</v>
      </c>
    </row>
  </sheetData>
  <mergeCells count="3">
    <mergeCell ref="B51:D51"/>
    <mergeCell ref="B83:D83"/>
    <mergeCell ref="B116:D11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7A78-6B13-4CFE-8FD2-E033C5211D5A}">
  <dimension ref="A1:V30"/>
  <sheetViews>
    <sheetView topLeftCell="J1" workbookViewId="0">
      <selection activeCell="V16" sqref="V16"/>
    </sheetView>
  </sheetViews>
  <sheetFormatPr defaultRowHeight="15" x14ac:dyDescent="0.25"/>
  <cols>
    <col min="1" max="1" width="21.85546875" bestFit="1" customWidth="1"/>
    <col min="2" max="2" width="17.42578125" bestFit="1" customWidth="1"/>
    <col min="3" max="3" width="17.7109375" bestFit="1" customWidth="1"/>
    <col min="4" max="4" width="16.140625" style="22" bestFit="1" customWidth="1"/>
    <col min="5" max="5" width="22.85546875" bestFit="1" customWidth="1"/>
    <col min="6" max="6" width="23.140625" bestFit="1" customWidth="1"/>
    <col min="7" max="7" width="21.7109375" style="22" bestFit="1" customWidth="1"/>
    <col min="8" max="8" width="22.28515625" bestFit="1" customWidth="1"/>
    <col min="9" max="9" width="22.5703125" bestFit="1" customWidth="1"/>
    <col min="10" max="10" width="21" style="22" bestFit="1" customWidth="1"/>
    <col min="11" max="11" width="17.85546875" bestFit="1" customWidth="1"/>
    <col min="12" max="12" width="17.5703125" bestFit="1" customWidth="1"/>
    <col min="13" max="13" width="18.7109375" bestFit="1" customWidth="1"/>
    <col min="16" max="16" width="27" customWidth="1"/>
    <col min="17" max="17" width="17.85546875" customWidth="1"/>
    <col min="21" max="21" width="12.5703125" customWidth="1"/>
    <col min="22" max="22" width="9.140625" style="7"/>
  </cols>
  <sheetData>
    <row r="1" spans="1:22" x14ac:dyDescent="0.25">
      <c r="A1" s="9" t="s">
        <v>38</v>
      </c>
      <c r="B1" t="s">
        <v>928</v>
      </c>
    </row>
    <row r="2" spans="1:22" x14ac:dyDescent="0.25">
      <c r="P2" t="s">
        <v>943</v>
      </c>
      <c r="Q2">
        <v>24</v>
      </c>
    </row>
    <row r="3" spans="1:22" x14ac:dyDescent="0.25">
      <c r="A3" s="9" t="s">
        <v>926</v>
      </c>
      <c r="B3" t="s">
        <v>988</v>
      </c>
      <c r="C3" t="s">
        <v>989</v>
      </c>
      <c r="D3" t="s">
        <v>990</v>
      </c>
      <c r="E3" t="s">
        <v>994</v>
      </c>
      <c r="F3" t="s">
        <v>995</v>
      </c>
      <c r="G3" t="s">
        <v>996</v>
      </c>
      <c r="H3" t="s">
        <v>991</v>
      </c>
      <c r="I3" t="s">
        <v>992</v>
      </c>
      <c r="J3" t="s">
        <v>993</v>
      </c>
      <c r="K3" t="s">
        <v>997</v>
      </c>
      <c r="L3" t="s">
        <v>998</v>
      </c>
      <c r="M3" t="s">
        <v>999</v>
      </c>
      <c r="P3" t="s">
        <v>1000</v>
      </c>
      <c r="Q3" t="s">
        <v>954</v>
      </c>
      <c r="R3">
        <v>1515</v>
      </c>
      <c r="S3" s="23">
        <v>0.91</v>
      </c>
      <c r="U3" t="s">
        <v>968</v>
      </c>
      <c r="V3" s="7">
        <f>R3/Q2</f>
        <v>63.125</v>
      </c>
    </row>
    <row r="4" spans="1:22" x14ac:dyDescent="0.25">
      <c r="A4" s="6" t="s">
        <v>183</v>
      </c>
      <c r="B4">
        <v>764</v>
      </c>
      <c r="C4">
        <v>589</v>
      </c>
      <c r="D4">
        <v>0.77094240837696337</v>
      </c>
      <c r="E4">
        <v>350</v>
      </c>
      <c r="F4">
        <v>300</v>
      </c>
      <c r="G4">
        <v>0.8571428571428571</v>
      </c>
      <c r="H4">
        <v>84</v>
      </c>
      <c r="I4">
        <v>51</v>
      </c>
      <c r="J4">
        <v>0.6071428571428571</v>
      </c>
      <c r="K4">
        <v>39</v>
      </c>
      <c r="L4">
        <v>55</v>
      </c>
      <c r="M4">
        <v>106</v>
      </c>
      <c r="P4" t="s">
        <v>1011</v>
      </c>
      <c r="Q4" t="s">
        <v>955</v>
      </c>
      <c r="R4">
        <v>1389</v>
      </c>
      <c r="S4" s="23">
        <v>0.94</v>
      </c>
    </row>
    <row r="5" spans="1:22" x14ac:dyDescent="0.25">
      <c r="A5" s="6" t="s">
        <v>95</v>
      </c>
      <c r="B5">
        <v>1203</v>
      </c>
      <c r="C5">
        <v>1038</v>
      </c>
      <c r="D5">
        <v>0.86284289276807979</v>
      </c>
      <c r="E5">
        <v>639</v>
      </c>
      <c r="F5">
        <v>588</v>
      </c>
      <c r="G5">
        <v>0.92018779342723001</v>
      </c>
      <c r="H5">
        <v>78</v>
      </c>
      <c r="I5">
        <v>51</v>
      </c>
      <c r="J5">
        <v>0.65384615384615385</v>
      </c>
      <c r="K5">
        <v>38</v>
      </c>
      <c r="L5">
        <v>55</v>
      </c>
      <c r="M5">
        <v>89</v>
      </c>
      <c r="Q5" t="s">
        <v>1001</v>
      </c>
      <c r="R5">
        <v>1141</v>
      </c>
      <c r="S5" s="23">
        <v>0.94</v>
      </c>
    </row>
    <row r="6" spans="1:22" x14ac:dyDescent="0.25">
      <c r="A6" s="6" t="s">
        <v>142</v>
      </c>
      <c r="B6">
        <v>737</v>
      </c>
      <c r="C6">
        <v>626</v>
      </c>
      <c r="D6">
        <v>0.84938941655359568</v>
      </c>
      <c r="E6">
        <v>404</v>
      </c>
      <c r="F6">
        <v>369</v>
      </c>
      <c r="G6">
        <v>0.9133663366336634</v>
      </c>
      <c r="H6">
        <v>87</v>
      </c>
      <c r="I6">
        <v>54</v>
      </c>
      <c r="J6">
        <v>0.62068965517241381</v>
      </c>
      <c r="K6">
        <v>35</v>
      </c>
      <c r="L6">
        <v>34</v>
      </c>
      <c r="M6">
        <v>81</v>
      </c>
      <c r="S6" s="23"/>
    </row>
    <row r="7" spans="1:22" x14ac:dyDescent="0.25">
      <c r="A7" s="6" t="s">
        <v>169</v>
      </c>
      <c r="B7">
        <v>574</v>
      </c>
      <c r="C7">
        <v>458</v>
      </c>
      <c r="D7">
        <v>0.79790940766550522</v>
      </c>
      <c r="E7">
        <v>331</v>
      </c>
      <c r="F7">
        <v>297</v>
      </c>
      <c r="G7">
        <v>0.89728096676737157</v>
      </c>
      <c r="H7">
        <v>39</v>
      </c>
      <c r="I7">
        <v>22</v>
      </c>
      <c r="J7">
        <v>0.5641025641025641</v>
      </c>
      <c r="K7">
        <v>31</v>
      </c>
      <c r="L7">
        <v>11</v>
      </c>
      <c r="M7">
        <v>52</v>
      </c>
      <c r="P7" t="s">
        <v>1002</v>
      </c>
      <c r="Q7" t="s">
        <v>954</v>
      </c>
      <c r="R7">
        <v>797</v>
      </c>
      <c r="S7" s="23">
        <v>0.94</v>
      </c>
      <c r="U7" t="s">
        <v>968</v>
      </c>
      <c r="V7" s="7">
        <f>R7/Q2</f>
        <v>33.208333333333336</v>
      </c>
    </row>
    <row r="8" spans="1:22" x14ac:dyDescent="0.25">
      <c r="A8" s="6" t="s">
        <v>122</v>
      </c>
      <c r="B8">
        <v>1309</v>
      </c>
      <c r="C8">
        <v>1221</v>
      </c>
      <c r="D8">
        <v>0.9327731092436975</v>
      </c>
      <c r="E8">
        <v>696</v>
      </c>
      <c r="F8">
        <v>663</v>
      </c>
      <c r="G8">
        <v>0.95258620689655171</v>
      </c>
      <c r="H8">
        <v>60</v>
      </c>
      <c r="I8">
        <v>43</v>
      </c>
      <c r="J8">
        <v>0.71666666666666667</v>
      </c>
      <c r="K8">
        <v>26</v>
      </c>
      <c r="L8">
        <v>133</v>
      </c>
      <c r="M8">
        <v>109</v>
      </c>
      <c r="P8" t="s">
        <v>1003</v>
      </c>
      <c r="Q8" t="s">
        <v>955</v>
      </c>
      <c r="R8">
        <v>666</v>
      </c>
      <c r="S8" s="23">
        <v>0.96</v>
      </c>
    </row>
    <row r="9" spans="1:22" x14ac:dyDescent="0.25">
      <c r="A9" s="6" t="s">
        <v>161</v>
      </c>
      <c r="B9">
        <v>1075</v>
      </c>
      <c r="C9">
        <v>956</v>
      </c>
      <c r="D9">
        <v>0.88930232558139533</v>
      </c>
      <c r="E9">
        <v>573</v>
      </c>
      <c r="F9">
        <v>540</v>
      </c>
      <c r="G9">
        <v>0.94240837696335078</v>
      </c>
      <c r="H9">
        <v>97</v>
      </c>
      <c r="I9">
        <v>55</v>
      </c>
      <c r="J9">
        <v>0.5670103092783505</v>
      </c>
      <c r="K9">
        <v>24</v>
      </c>
      <c r="L9">
        <v>63</v>
      </c>
      <c r="M9">
        <v>87</v>
      </c>
    </row>
    <row r="10" spans="1:22" x14ac:dyDescent="0.25">
      <c r="A10" s="6" t="s">
        <v>50</v>
      </c>
      <c r="B10">
        <v>288</v>
      </c>
      <c r="C10">
        <v>187</v>
      </c>
      <c r="D10">
        <v>0.64930555555555558</v>
      </c>
      <c r="E10">
        <v>188</v>
      </c>
      <c r="F10">
        <v>130</v>
      </c>
      <c r="G10">
        <v>0.69148936170212771</v>
      </c>
      <c r="H10">
        <v>6</v>
      </c>
      <c r="I10">
        <v>4</v>
      </c>
      <c r="J10">
        <v>0.66666666666666663</v>
      </c>
      <c r="K10">
        <v>22</v>
      </c>
      <c r="L10">
        <v>8</v>
      </c>
      <c r="M10">
        <v>15</v>
      </c>
      <c r="P10" t="s">
        <v>1004</v>
      </c>
      <c r="Q10" t="s">
        <v>154</v>
      </c>
      <c r="R10">
        <v>112</v>
      </c>
      <c r="S10" s="23">
        <v>0.62</v>
      </c>
      <c r="U10" t="s">
        <v>968</v>
      </c>
      <c r="V10" s="7">
        <f>R10/Q2</f>
        <v>4.666666666666667</v>
      </c>
    </row>
    <row r="11" spans="1:22" x14ac:dyDescent="0.25">
      <c r="A11" s="6" t="s">
        <v>226</v>
      </c>
      <c r="B11">
        <v>369</v>
      </c>
      <c r="C11">
        <v>321</v>
      </c>
      <c r="D11">
        <v>0.86991869918699183</v>
      </c>
      <c r="E11">
        <v>221</v>
      </c>
      <c r="F11">
        <v>206</v>
      </c>
      <c r="G11">
        <v>0.9321266968325792</v>
      </c>
      <c r="H11">
        <v>21</v>
      </c>
      <c r="I11">
        <v>13</v>
      </c>
      <c r="J11">
        <v>0.61904761904761907</v>
      </c>
      <c r="K11">
        <v>22</v>
      </c>
      <c r="L11">
        <v>16</v>
      </c>
      <c r="M11">
        <v>43</v>
      </c>
      <c r="P11" t="s">
        <v>1005</v>
      </c>
      <c r="Q11" t="s">
        <v>1001</v>
      </c>
      <c r="R11">
        <v>56</v>
      </c>
      <c r="S11" s="23">
        <v>0.75</v>
      </c>
    </row>
    <row r="12" spans="1:22" x14ac:dyDescent="0.25">
      <c r="A12" s="6" t="s">
        <v>196</v>
      </c>
      <c r="B12">
        <v>600</v>
      </c>
      <c r="C12">
        <v>503</v>
      </c>
      <c r="D12">
        <v>0.83833333333333337</v>
      </c>
      <c r="E12">
        <v>318</v>
      </c>
      <c r="F12">
        <v>285</v>
      </c>
      <c r="G12">
        <v>0.89622641509433965</v>
      </c>
      <c r="H12">
        <v>42</v>
      </c>
      <c r="I12">
        <v>29</v>
      </c>
      <c r="J12">
        <v>0.69047619047619047</v>
      </c>
      <c r="K12">
        <v>18</v>
      </c>
      <c r="L12">
        <v>16</v>
      </c>
      <c r="M12">
        <v>34</v>
      </c>
    </row>
    <row r="13" spans="1:22" x14ac:dyDescent="0.25">
      <c r="A13" s="6" t="s">
        <v>75</v>
      </c>
      <c r="B13">
        <v>1669</v>
      </c>
      <c r="C13">
        <v>1515</v>
      </c>
      <c r="D13">
        <v>0.90772917914919116</v>
      </c>
      <c r="E13">
        <v>845</v>
      </c>
      <c r="F13">
        <v>797</v>
      </c>
      <c r="G13">
        <v>0.9431952662721893</v>
      </c>
      <c r="H13">
        <v>79</v>
      </c>
      <c r="I13">
        <v>52</v>
      </c>
      <c r="J13">
        <v>0.65822784810126578</v>
      </c>
      <c r="K13">
        <v>18</v>
      </c>
      <c r="L13">
        <v>139</v>
      </c>
      <c r="M13">
        <v>163</v>
      </c>
      <c r="P13" t="s">
        <v>1006</v>
      </c>
      <c r="Q13" t="s">
        <v>948</v>
      </c>
      <c r="R13">
        <v>39</v>
      </c>
      <c r="U13" t="s">
        <v>968</v>
      </c>
      <c r="V13" s="7">
        <f>R13/Q2</f>
        <v>1.625</v>
      </c>
    </row>
    <row r="14" spans="1:22" x14ac:dyDescent="0.25">
      <c r="A14" s="6" t="s">
        <v>213</v>
      </c>
      <c r="B14">
        <v>391</v>
      </c>
      <c r="C14">
        <v>311</v>
      </c>
      <c r="D14">
        <v>0.79539641943734019</v>
      </c>
      <c r="E14">
        <v>241</v>
      </c>
      <c r="F14">
        <v>207</v>
      </c>
      <c r="G14">
        <v>0.85892116182572609</v>
      </c>
      <c r="H14">
        <v>11</v>
      </c>
      <c r="I14">
        <v>7</v>
      </c>
      <c r="J14">
        <v>0.63636363636363635</v>
      </c>
      <c r="K14">
        <v>16</v>
      </c>
      <c r="L14">
        <v>3</v>
      </c>
      <c r="M14">
        <v>36</v>
      </c>
      <c r="Q14" t="s">
        <v>967</v>
      </c>
      <c r="R14">
        <v>38</v>
      </c>
      <c r="V14" s="7">
        <f>R14/Q2</f>
        <v>1.5833333333333333</v>
      </c>
    </row>
    <row r="15" spans="1:22" x14ac:dyDescent="0.25">
      <c r="A15" s="6" t="s">
        <v>110</v>
      </c>
      <c r="B15">
        <v>1479</v>
      </c>
      <c r="C15">
        <v>1389</v>
      </c>
      <c r="D15">
        <v>0.9391480730223124</v>
      </c>
      <c r="E15">
        <v>694</v>
      </c>
      <c r="F15">
        <v>666</v>
      </c>
      <c r="G15">
        <v>0.95965417867435154</v>
      </c>
      <c r="H15">
        <v>92</v>
      </c>
      <c r="I15">
        <v>68</v>
      </c>
      <c r="J15">
        <v>0.73913043478260865</v>
      </c>
      <c r="K15">
        <v>9</v>
      </c>
      <c r="L15">
        <v>149</v>
      </c>
      <c r="M15">
        <v>135</v>
      </c>
      <c r="Q15" t="s">
        <v>965</v>
      </c>
      <c r="R15">
        <v>35</v>
      </c>
      <c r="V15" s="7">
        <f>R15/Q2</f>
        <v>1.4583333333333333</v>
      </c>
    </row>
    <row r="16" spans="1:22" x14ac:dyDescent="0.25">
      <c r="A16" s="6" t="s">
        <v>133</v>
      </c>
      <c r="B16">
        <v>903</v>
      </c>
      <c r="C16">
        <v>832</v>
      </c>
      <c r="D16">
        <v>0.92137320044296789</v>
      </c>
      <c r="E16">
        <v>541</v>
      </c>
      <c r="F16">
        <v>512</v>
      </c>
      <c r="G16">
        <v>0.94639556377079481</v>
      </c>
      <c r="H16">
        <v>31</v>
      </c>
      <c r="I16">
        <v>23</v>
      </c>
      <c r="J16">
        <v>0.74193548387096775</v>
      </c>
      <c r="K16">
        <v>7</v>
      </c>
      <c r="L16">
        <v>69</v>
      </c>
      <c r="M16">
        <v>80</v>
      </c>
    </row>
    <row r="17" spans="1:22" x14ac:dyDescent="0.25">
      <c r="A17" s="6" t="s">
        <v>204</v>
      </c>
      <c r="B17">
        <v>826</v>
      </c>
      <c r="C17">
        <v>724</v>
      </c>
      <c r="D17">
        <v>0.87651331719128334</v>
      </c>
      <c r="E17">
        <v>388</v>
      </c>
      <c r="F17">
        <v>367</v>
      </c>
      <c r="G17">
        <v>0.94587628865979378</v>
      </c>
      <c r="H17">
        <v>82</v>
      </c>
      <c r="I17">
        <v>42</v>
      </c>
      <c r="J17">
        <v>0.51219512195121952</v>
      </c>
      <c r="K17">
        <v>7</v>
      </c>
      <c r="L17">
        <v>63</v>
      </c>
      <c r="M17">
        <v>64</v>
      </c>
      <c r="P17" t="s">
        <v>1007</v>
      </c>
      <c r="Q17" t="s">
        <v>955</v>
      </c>
      <c r="R17">
        <v>149</v>
      </c>
      <c r="U17" t="s">
        <v>968</v>
      </c>
      <c r="V17" s="7">
        <v>6.208333333333333</v>
      </c>
    </row>
    <row r="18" spans="1:22" x14ac:dyDescent="0.25">
      <c r="A18" s="6" t="s">
        <v>179</v>
      </c>
      <c r="B18">
        <v>1215</v>
      </c>
      <c r="C18">
        <v>1141</v>
      </c>
      <c r="D18">
        <v>0.93909465020576133</v>
      </c>
      <c r="E18">
        <v>505</v>
      </c>
      <c r="F18">
        <v>489</v>
      </c>
      <c r="G18">
        <v>0.96831683168316829</v>
      </c>
      <c r="H18">
        <v>75</v>
      </c>
      <c r="I18">
        <v>56</v>
      </c>
      <c r="J18">
        <v>0.7466666666666667</v>
      </c>
      <c r="K18">
        <v>5</v>
      </c>
      <c r="L18">
        <v>106</v>
      </c>
      <c r="M18">
        <v>78</v>
      </c>
    </row>
    <row r="19" spans="1:22" x14ac:dyDescent="0.25">
      <c r="A19" s="6" t="s">
        <v>238</v>
      </c>
      <c r="B19">
        <v>40</v>
      </c>
      <c r="C19">
        <v>32</v>
      </c>
      <c r="D19">
        <v>0.8</v>
      </c>
      <c r="E19">
        <v>26</v>
      </c>
      <c r="F19">
        <v>22</v>
      </c>
      <c r="G19">
        <v>0.84615384615384615</v>
      </c>
      <c r="H19">
        <v>4</v>
      </c>
      <c r="I19">
        <v>3</v>
      </c>
      <c r="J19">
        <v>0.75</v>
      </c>
      <c r="K19">
        <v>4</v>
      </c>
      <c r="L19">
        <v>1</v>
      </c>
      <c r="M19">
        <v>3</v>
      </c>
      <c r="P19" t="s">
        <v>1008</v>
      </c>
      <c r="Q19" t="s">
        <v>954</v>
      </c>
      <c r="R19">
        <v>163</v>
      </c>
      <c r="U19" t="s">
        <v>968</v>
      </c>
      <c r="V19" s="7">
        <v>6.791666666666667</v>
      </c>
    </row>
    <row r="20" spans="1:22" x14ac:dyDescent="0.25">
      <c r="A20" s="6" t="s">
        <v>154</v>
      </c>
      <c r="B20">
        <v>559</v>
      </c>
      <c r="C20">
        <v>482</v>
      </c>
      <c r="D20">
        <v>0.86225402504472271</v>
      </c>
      <c r="E20">
        <v>90</v>
      </c>
      <c r="F20">
        <v>90</v>
      </c>
      <c r="G20">
        <v>1</v>
      </c>
      <c r="H20">
        <v>182</v>
      </c>
      <c r="I20">
        <v>112</v>
      </c>
      <c r="J20">
        <v>0.61538461538461542</v>
      </c>
      <c r="K20">
        <v>2</v>
      </c>
      <c r="L20">
        <v>14</v>
      </c>
      <c r="M20">
        <v>1</v>
      </c>
    </row>
    <row r="21" spans="1:22" x14ac:dyDescent="0.25">
      <c r="A21" s="6" t="s">
        <v>235</v>
      </c>
      <c r="B21">
        <v>354</v>
      </c>
      <c r="C21">
        <v>321</v>
      </c>
      <c r="D21">
        <v>0.90677966101694918</v>
      </c>
      <c r="E21">
        <v>160</v>
      </c>
      <c r="F21">
        <v>151</v>
      </c>
      <c r="G21">
        <v>0.94374999999999998</v>
      </c>
      <c r="H21">
        <v>36</v>
      </c>
      <c r="I21">
        <v>28</v>
      </c>
      <c r="J21">
        <v>0.77777777777777779</v>
      </c>
      <c r="K21">
        <v>2</v>
      </c>
      <c r="L21">
        <v>40</v>
      </c>
      <c r="M21">
        <v>20</v>
      </c>
    </row>
    <row r="22" spans="1:22" x14ac:dyDescent="0.25">
      <c r="A22" s="6" t="s">
        <v>242</v>
      </c>
      <c r="B22">
        <v>61</v>
      </c>
      <c r="C22">
        <v>57</v>
      </c>
      <c r="D22">
        <v>0.93442622950819676</v>
      </c>
      <c r="E22">
        <v>26</v>
      </c>
      <c r="F22">
        <v>25</v>
      </c>
      <c r="G22">
        <v>0.96153846153846156</v>
      </c>
      <c r="H22">
        <v>7</v>
      </c>
      <c r="I22">
        <v>7</v>
      </c>
      <c r="J22">
        <v>1</v>
      </c>
      <c r="K22">
        <v>1</v>
      </c>
      <c r="L22">
        <v>3</v>
      </c>
      <c r="M22">
        <v>4</v>
      </c>
    </row>
    <row r="23" spans="1:22" x14ac:dyDescent="0.25">
      <c r="A23" s="6" t="s">
        <v>221</v>
      </c>
      <c r="B23">
        <v>469</v>
      </c>
      <c r="C23">
        <v>439</v>
      </c>
      <c r="D23">
        <v>0.9360341151385928</v>
      </c>
      <c r="E23">
        <v>221</v>
      </c>
      <c r="F23">
        <v>216</v>
      </c>
      <c r="G23">
        <v>0.9773755656108597</v>
      </c>
      <c r="H23">
        <v>29</v>
      </c>
      <c r="I23">
        <v>17</v>
      </c>
      <c r="J23">
        <v>0.58620689655172409</v>
      </c>
      <c r="K23">
        <v>0</v>
      </c>
      <c r="L23">
        <v>32</v>
      </c>
      <c r="M23">
        <v>39</v>
      </c>
    </row>
    <row r="24" spans="1:22" x14ac:dyDescent="0.25">
      <c r="A24" s="6" t="s">
        <v>253</v>
      </c>
      <c r="B24">
        <v>12</v>
      </c>
      <c r="C24">
        <v>11</v>
      </c>
      <c r="D24">
        <v>0.91666666666666663</v>
      </c>
      <c r="E24">
        <v>9</v>
      </c>
      <c r="F24">
        <v>9</v>
      </c>
      <c r="G24">
        <v>1</v>
      </c>
      <c r="H24">
        <v>0</v>
      </c>
      <c r="I24">
        <v>0</v>
      </c>
      <c r="J24" t="e">
        <v>#DIV/0!</v>
      </c>
      <c r="K24">
        <v>0</v>
      </c>
      <c r="L24">
        <v>0</v>
      </c>
      <c r="M24">
        <v>0</v>
      </c>
    </row>
    <row r="25" spans="1:22" x14ac:dyDescent="0.25">
      <c r="A25" s="6" t="s">
        <v>248</v>
      </c>
      <c r="B25">
        <v>47</v>
      </c>
      <c r="C25">
        <v>40</v>
      </c>
      <c r="D25">
        <v>0.85106382978723405</v>
      </c>
      <c r="E25">
        <v>25</v>
      </c>
      <c r="F25">
        <v>21</v>
      </c>
      <c r="G25">
        <v>0.84</v>
      </c>
      <c r="H25">
        <v>2</v>
      </c>
      <c r="I25">
        <v>1</v>
      </c>
      <c r="J25">
        <v>0.5</v>
      </c>
      <c r="K25">
        <v>0</v>
      </c>
      <c r="L25">
        <v>3</v>
      </c>
      <c r="M25">
        <v>3</v>
      </c>
    </row>
    <row r="26" spans="1:22" x14ac:dyDescent="0.25">
      <c r="A26" s="6" t="s">
        <v>241</v>
      </c>
      <c r="B26">
        <v>115</v>
      </c>
      <c r="C26">
        <v>107</v>
      </c>
      <c r="D26">
        <v>0.93043478260869561</v>
      </c>
      <c r="E26">
        <v>49</v>
      </c>
      <c r="F26">
        <v>47</v>
      </c>
      <c r="G26">
        <v>0.95918367346938771</v>
      </c>
      <c r="H26">
        <v>7</v>
      </c>
      <c r="I26">
        <v>3</v>
      </c>
      <c r="J26">
        <v>0.42857142857142855</v>
      </c>
      <c r="K26">
        <v>0</v>
      </c>
      <c r="L26">
        <v>3</v>
      </c>
      <c r="M26">
        <v>3</v>
      </c>
    </row>
    <row r="27" spans="1:22" x14ac:dyDescent="0.25">
      <c r="A27" s="6" t="s">
        <v>211</v>
      </c>
      <c r="B27">
        <v>333</v>
      </c>
      <c r="C27">
        <v>280</v>
      </c>
      <c r="D27">
        <v>0.84084084084084088</v>
      </c>
      <c r="E27">
        <v>87</v>
      </c>
      <c r="F27">
        <v>85</v>
      </c>
      <c r="G27">
        <v>0.97701149425287359</v>
      </c>
      <c r="H27">
        <v>104</v>
      </c>
      <c r="I27">
        <v>58</v>
      </c>
      <c r="J27">
        <v>0.55769230769230771</v>
      </c>
      <c r="K27">
        <v>0</v>
      </c>
      <c r="L27">
        <v>3</v>
      </c>
      <c r="M27">
        <v>0</v>
      </c>
    </row>
    <row r="28" spans="1:22" x14ac:dyDescent="0.25">
      <c r="A28" s="6" t="s">
        <v>245</v>
      </c>
      <c r="B28">
        <v>48</v>
      </c>
      <c r="C28">
        <v>41</v>
      </c>
      <c r="D28">
        <v>0.85416666666666663</v>
      </c>
      <c r="E28">
        <v>20</v>
      </c>
      <c r="F28">
        <v>17</v>
      </c>
      <c r="G28">
        <v>0.85</v>
      </c>
      <c r="H28">
        <v>3</v>
      </c>
      <c r="I28">
        <v>1</v>
      </c>
      <c r="J28">
        <v>0.33333333333333331</v>
      </c>
      <c r="K28">
        <v>0</v>
      </c>
      <c r="L28">
        <v>0</v>
      </c>
      <c r="M28">
        <v>2</v>
      </c>
    </row>
    <row r="29" spans="1:22" x14ac:dyDescent="0.25">
      <c r="A29" s="6" t="s">
        <v>251</v>
      </c>
      <c r="B29">
        <v>3</v>
      </c>
      <c r="C29">
        <v>2</v>
      </c>
      <c r="D29">
        <v>0.66666666666666663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1</v>
      </c>
    </row>
    <row r="30" spans="1:22" x14ac:dyDescent="0.25">
      <c r="A30" s="6" t="s">
        <v>927</v>
      </c>
      <c r="B30">
        <v>15443</v>
      </c>
      <c r="C30">
        <v>13623</v>
      </c>
      <c r="D30">
        <v>0.88214725118176518</v>
      </c>
      <c r="E30">
        <v>7648</v>
      </c>
      <c r="F30">
        <v>7100</v>
      </c>
      <c r="G30">
        <v>0.92834728033472802</v>
      </c>
      <c r="H30">
        <v>1259</v>
      </c>
      <c r="I30">
        <v>801</v>
      </c>
      <c r="J30">
        <v>0.63621922160444799</v>
      </c>
      <c r="K30">
        <v>326</v>
      </c>
      <c r="L30">
        <v>1019</v>
      </c>
      <c r="M30">
        <v>1248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79AB-0B77-4A8B-9759-A58C7752E834}">
  <dimension ref="A1:V29"/>
  <sheetViews>
    <sheetView topLeftCell="J1" workbookViewId="0">
      <selection activeCell="T6" sqref="T6"/>
    </sheetView>
  </sheetViews>
  <sheetFormatPr defaultRowHeight="15" x14ac:dyDescent="0.25"/>
  <cols>
    <col min="1" max="1" width="15.140625" bestFit="1" customWidth="1"/>
    <col min="2" max="2" width="17.42578125" bestFit="1" customWidth="1"/>
    <col min="3" max="3" width="17.7109375" bestFit="1" customWidth="1"/>
    <col min="4" max="4" width="16.140625" style="22" bestFit="1" customWidth="1"/>
    <col min="5" max="5" width="22.85546875" bestFit="1" customWidth="1"/>
    <col min="6" max="6" width="23.140625" bestFit="1" customWidth="1"/>
    <col min="7" max="7" width="21.7109375" style="22" bestFit="1" customWidth="1"/>
    <col min="8" max="8" width="22.28515625" bestFit="1" customWidth="1"/>
    <col min="9" max="9" width="22.5703125" bestFit="1" customWidth="1"/>
    <col min="10" max="10" width="21" style="22" bestFit="1" customWidth="1"/>
    <col min="11" max="11" width="17.85546875" bestFit="1" customWidth="1"/>
    <col min="12" max="12" width="17.5703125" bestFit="1" customWidth="1"/>
    <col min="13" max="13" width="18.7109375" bestFit="1" customWidth="1"/>
    <col min="16" max="16" width="28.140625" customWidth="1"/>
    <col min="17" max="17" width="13.7109375" customWidth="1"/>
    <col min="18" max="18" width="17.28515625" customWidth="1"/>
    <col min="19" max="19" width="12" customWidth="1"/>
    <col min="21" max="21" width="14.5703125" customWidth="1"/>
    <col min="22" max="22" width="11.7109375" customWidth="1"/>
  </cols>
  <sheetData>
    <row r="1" spans="1:22" x14ac:dyDescent="0.25">
      <c r="A1" s="9" t="s">
        <v>38</v>
      </c>
      <c r="B1" t="s">
        <v>928</v>
      </c>
    </row>
    <row r="2" spans="1:22" x14ac:dyDescent="0.25">
      <c r="P2" t="s">
        <v>943</v>
      </c>
      <c r="Q2">
        <v>38</v>
      </c>
    </row>
    <row r="3" spans="1:22" x14ac:dyDescent="0.25">
      <c r="A3" s="9" t="s">
        <v>926</v>
      </c>
      <c r="B3" t="s">
        <v>988</v>
      </c>
      <c r="C3" t="s">
        <v>989</v>
      </c>
      <c r="D3" t="s">
        <v>990</v>
      </c>
      <c r="E3" t="s">
        <v>994</v>
      </c>
      <c r="F3" t="s">
        <v>995</v>
      </c>
      <c r="G3" t="s">
        <v>996</v>
      </c>
      <c r="H3" t="s">
        <v>991</v>
      </c>
      <c r="I3" t="s">
        <v>992</v>
      </c>
      <c r="J3" t="s">
        <v>993</v>
      </c>
      <c r="K3" t="s">
        <v>997</v>
      </c>
      <c r="L3" t="s">
        <v>998</v>
      </c>
      <c r="M3" t="s">
        <v>999</v>
      </c>
      <c r="P3" t="s">
        <v>1000</v>
      </c>
      <c r="Q3" t="s">
        <v>242</v>
      </c>
      <c r="R3">
        <v>3365</v>
      </c>
      <c r="S3" s="23">
        <v>0.92</v>
      </c>
      <c r="U3" t="s">
        <v>968</v>
      </c>
      <c r="V3" s="7">
        <f>R3/Q2</f>
        <v>88.55263157894737</v>
      </c>
    </row>
    <row r="4" spans="1:22" x14ac:dyDescent="0.25">
      <c r="A4" s="6" t="s">
        <v>242</v>
      </c>
      <c r="B4">
        <v>3656</v>
      </c>
      <c r="C4">
        <v>3365</v>
      </c>
      <c r="D4">
        <v>0.92040481400437635</v>
      </c>
      <c r="E4">
        <v>1774</v>
      </c>
      <c r="F4">
        <v>1676</v>
      </c>
      <c r="G4">
        <v>0.94475760992108226</v>
      </c>
      <c r="H4">
        <v>401</v>
      </c>
      <c r="I4">
        <v>340</v>
      </c>
      <c r="J4">
        <v>0.84788029925187036</v>
      </c>
      <c r="K4">
        <v>49</v>
      </c>
      <c r="L4">
        <v>378</v>
      </c>
      <c r="M4">
        <v>376</v>
      </c>
      <c r="P4" t="s">
        <v>1012</v>
      </c>
      <c r="Q4" t="s">
        <v>1001</v>
      </c>
      <c r="R4">
        <v>2469</v>
      </c>
      <c r="S4" s="23">
        <v>0.94</v>
      </c>
      <c r="V4" s="7"/>
    </row>
    <row r="5" spans="1:22" x14ac:dyDescent="0.25">
      <c r="A5" s="6" t="s">
        <v>95</v>
      </c>
      <c r="B5">
        <v>1936</v>
      </c>
      <c r="C5">
        <v>1671</v>
      </c>
      <c r="D5">
        <v>0.86311983471074383</v>
      </c>
      <c r="E5">
        <v>1052</v>
      </c>
      <c r="F5">
        <v>993</v>
      </c>
      <c r="G5">
        <v>0.94391634980988592</v>
      </c>
      <c r="H5">
        <v>158</v>
      </c>
      <c r="I5">
        <v>106</v>
      </c>
      <c r="J5">
        <v>0.67088607594936711</v>
      </c>
      <c r="K5">
        <v>64</v>
      </c>
      <c r="L5">
        <v>100</v>
      </c>
      <c r="M5">
        <v>177</v>
      </c>
      <c r="Q5" t="s">
        <v>955</v>
      </c>
      <c r="R5">
        <v>2180</v>
      </c>
      <c r="S5" s="22">
        <v>0.93401885175664101</v>
      </c>
      <c r="V5" s="7"/>
    </row>
    <row r="6" spans="1:22" x14ac:dyDescent="0.25">
      <c r="A6" s="6" t="s">
        <v>179</v>
      </c>
      <c r="B6">
        <v>2635</v>
      </c>
      <c r="C6">
        <v>2469</v>
      </c>
      <c r="D6">
        <v>0.93700189753320684</v>
      </c>
      <c r="E6">
        <v>1076</v>
      </c>
      <c r="F6">
        <v>1039</v>
      </c>
      <c r="G6">
        <v>0.96561338289962828</v>
      </c>
      <c r="H6">
        <v>204</v>
      </c>
      <c r="I6">
        <v>146</v>
      </c>
      <c r="J6">
        <v>0.71568627450980393</v>
      </c>
      <c r="K6">
        <v>7</v>
      </c>
      <c r="L6">
        <v>220</v>
      </c>
      <c r="M6">
        <v>173</v>
      </c>
      <c r="S6" s="23"/>
      <c r="V6" s="7"/>
    </row>
    <row r="7" spans="1:22" x14ac:dyDescent="0.25">
      <c r="A7" s="6" t="s">
        <v>142</v>
      </c>
      <c r="B7">
        <v>1767</v>
      </c>
      <c r="C7">
        <v>1511</v>
      </c>
      <c r="D7">
        <v>0.85512167515563098</v>
      </c>
      <c r="E7">
        <v>1053</v>
      </c>
      <c r="F7">
        <v>990</v>
      </c>
      <c r="G7">
        <v>0.94017094017094016</v>
      </c>
      <c r="H7">
        <v>135</v>
      </c>
      <c r="I7">
        <v>68</v>
      </c>
      <c r="J7">
        <v>0.50370370370370365</v>
      </c>
      <c r="K7">
        <v>73</v>
      </c>
      <c r="L7">
        <v>71</v>
      </c>
      <c r="M7">
        <v>168</v>
      </c>
      <c r="P7" t="s">
        <v>1002</v>
      </c>
      <c r="Q7" t="s">
        <v>242</v>
      </c>
      <c r="R7">
        <v>1676</v>
      </c>
      <c r="S7" s="23">
        <v>0.94</v>
      </c>
      <c r="U7" t="s">
        <v>968</v>
      </c>
      <c r="V7" s="7">
        <f>R7/Q2</f>
        <v>44.10526315789474</v>
      </c>
    </row>
    <row r="8" spans="1:22" x14ac:dyDescent="0.25">
      <c r="A8" s="6" t="s">
        <v>204</v>
      </c>
      <c r="B8">
        <v>2404</v>
      </c>
      <c r="C8">
        <v>2128</v>
      </c>
      <c r="D8">
        <v>0.88519134775374375</v>
      </c>
      <c r="E8">
        <v>1057</v>
      </c>
      <c r="F8">
        <v>992</v>
      </c>
      <c r="G8">
        <v>0.93850520340586563</v>
      </c>
      <c r="H8">
        <v>246</v>
      </c>
      <c r="I8">
        <v>166</v>
      </c>
      <c r="J8">
        <v>0.67479674796747968</v>
      </c>
      <c r="K8">
        <v>25</v>
      </c>
      <c r="L8">
        <v>199</v>
      </c>
      <c r="M8">
        <v>157</v>
      </c>
      <c r="P8" t="s">
        <v>1013</v>
      </c>
      <c r="Q8" t="s">
        <v>1001</v>
      </c>
      <c r="R8">
        <v>1039</v>
      </c>
      <c r="S8" s="23">
        <v>0.97</v>
      </c>
      <c r="V8" s="7"/>
    </row>
    <row r="9" spans="1:22" x14ac:dyDescent="0.25">
      <c r="A9" s="6" t="s">
        <v>110</v>
      </c>
      <c r="B9">
        <v>2334</v>
      </c>
      <c r="C9">
        <v>2180</v>
      </c>
      <c r="D9">
        <v>0.93401885175664101</v>
      </c>
      <c r="E9">
        <v>1136</v>
      </c>
      <c r="F9">
        <v>1091</v>
      </c>
      <c r="G9">
        <v>0.960387323943662</v>
      </c>
      <c r="H9">
        <v>163</v>
      </c>
      <c r="I9">
        <v>126</v>
      </c>
      <c r="J9">
        <v>0.77300613496932513</v>
      </c>
      <c r="K9">
        <v>13</v>
      </c>
      <c r="L9">
        <v>214</v>
      </c>
      <c r="M9">
        <v>148</v>
      </c>
      <c r="V9" s="7"/>
    </row>
    <row r="10" spans="1:22" x14ac:dyDescent="0.25">
      <c r="A10" s="6" t="s">
        <v>75</v>
      </c>
      <c r="B10">
        <v>1919</v>
      </c>
      <c r="C10">
        <v>1671</v>
      </c>
      <c r="D10">
        <v>0.87076602397081815</v>
      </c>
      <c r="E10">
        <v>1010</v>
      </c>
      <c r="F10">
        <v>931</v>
      </c>
      <c r="G10">
        <v>0.92178217821782182</v>
      </c>
      <c r="H10">
        <v>107</v>
      </c>
      <c r="I10">
        <v>77</v>
      </c>
      <c r="J10">
        <v>0.71962616822429903</v>
      </c>
      <c r="K10">
        <v>18</v>
      </c>
      <c r="L10">
        <v>141</v>
      </c>
      <c r="M10">
        <v>136</v>
      </c>
      <c r="P10" t="s">
        <v>1004</v>
      </c>
      <c r="Q10" t="s">
        <v>242</v>
      </c>
      <c r="R10">
        <v>340</v>
      </c>
      <c r="S10" s="23">
        <v>0.85</v>
      </c>
      <c r="U10" t="s">
        <v>968</v>
      </c>
      <c r="V10" s="7">
        <f>R10/Q2</f>
        <v>8.9473684210526319</v>
      </c>
    </row>
    <row r="11" spans="1:22" x14ac:dyDescent="0.25">
      <c r="A11" s="6" t="s">
        <v>221</v>
      </c>
      <c r="B11">
        <v>1864</v>
      </c>
      <c r="C11">
        <v>1716</v>
      </c>
      <c r="D11">
        <v>0.92060085836909866</v>
      </c>
      <c r="E11">
        <v>921</v>
      </c>
      <c r="F11">
        <v>882</v>
      </c>
      <c r="G11">
        <v>0.95765472312703581</v>
      </c>
      <c r="H11">
        <v>85</v>
      </c>
      <c r="I11">
        <v>43</v>
      </c>
      <c r="J11">
        <v>0.50588235294117645</v>
      </c>
      <c r="K11">
        <v>10</v>
      </c>
      <c r="L11">
        <v>148</v>
      </c>
      <c r="M11">
        <v>116</v>
      </c>
      <c r="P11" t="s">
        <v>1014</v>
      </c>
      <c r="Q11" t="s">
        <v>242</v>
      </c>
      <c r="R11">
        <v>340</v>
      </c>
      <c r="S11" s="23">
        <v>0.85</v>
      </c>
      <c r="V11" s="7"/>
    </row>
    <row r="12" spans="1:22" x14ac:dyDescent="0.25">
      <c r="A12" s="6" t="s">
        <v>183</v>
      </c>
      <c r="B12">
        <v>971</v>
      </c>
      <c r="C12">
        <v>732</v>
      </c>
      <c r="D12">
        <v>0.75386199794026776</v>
      </c>
      <c r="E12">
        <v>481</v>
      </c>
      <c r="F12">
        <v>426</v>
      </c>
      <c r="G12">
        <v>0.8856548856548857</v>
      </c>
      <c r="H12">
        <v>134</v>
      </c>
      <c r="I12">
        <v>66</v>
      </c>
      <c r="J12">
        <v>0.4925373134328358</v>
      </c>
      <c r="K12">
        <v>59</v>
      </c>
      <c r="L12">
        <v>67</v>
      </c>
      <c r="M12">
        <v>111</v>
      </c>
      <c r="V12" s="7"/>
    </row>
    <row r="13" spans="1:22" x14ac:dyDescent="0.25">
      <c r="A13" s="6" t="s">
        <v>313</v>
      </c>
      <c r="B13">
        <v>1258</v>
      </c>
      <c r="C13">
        <v>1011</v>
      </c>
      <c r="D13">
        <v>0.80365659777424481</v>
      </c>
      <c r="E13">
        <v>679</v>
      </c>
      <c r="F13">
        <v>615</v>
      </c>
      <c r="G13">
        <v>0.90574374079528719</v>
      </c>
      <c r="H13">
        <v>145</v>
      </c>
      <c r="I13">
        <v>58</v>
      </c>
      <c r="J13">
        <v>0.4</v>
      </c>
      <c r="K13">
        <v>67</v>
      </c>
      <c r="L13">
        <v>43</v>
      </c>
      <c r="M13">
        <v>103</v>
      </c>
      <c r="P13" t="s">
        <v>1006</v>
      </c>
      <c r="Q13" s="6" t="s">
        <v>965</v>
      </c>
      <c r="R13">
        <v>73</v>
      </c>
      <c r="U13" t="s">
        <v>968</v>
      </c>
      <c r="V13" s="7">
        <f>R13/Q2</f>
        <v>1.9210526315789473</v>
      </c>
    </row>
    <row r="14" spans="1:22" x14ac:dyDescent="0.25">
      <c r="A14" s="6" t="s">
        <v>122</v>
      </c>
      <c r="B14">
        <v>1527</v>
      </c>
      <c r="C14">
        <v>1435</v>
      </c>
      <c r="D14">
        <v>0.93975114603798293</v>
      </c>
      <c r="E14">
        <v>862</v>
      </c>
      <c r="F14">
        <v>835</v>
      </c>
      <c r="G14">
        <v>0.96867749419953597</v>
      </c>
      <c r="H14">
        <v>57</v>
      </c>
      <c r="I14">
        <v>41</v>
      </c>
      <c r="J14">
        <v>0.7192982456140351</v>
      </c>
      <c r="K14">
        <v>21</v>
      </c>
      <c r="L14">
        <v>120</v>
      </c>
      <c r="M14">
        <v>100</v>
      </c>
      <c r="P14" s="6"/>
      <c r="Q14" s="6" t="s">
        <v>964</v>
      </c>
      <c r="R14">
        <v>67</v>
      </c>
      <c r="V14" s="7">
        <f>R14/Q2</f>
        <v>1.763157894736842</v>
      </c>
    </row>
    <row r="15" spans="1:22" x14ac:dyDescent="0.25">
      <c r="A15" s="6" t="s">
        <v>235</v>
      </c>
      <c r="B15">
        <v>839</v>
      </c>
      <c r="C15">
        <v>781</v>
      </c>
      <c r="D15">
        <v>0.93087008343265798</v>
      </c>
      <c r="E15">
        <v>426</v>
      </c>
      <c r="F15">
        <v>402</v>
      </c>
      <c r="G15">
        <v>0.94366197183098588</v>
      </c>
      <c r="H15">
        <v>54</v>
      </c>
      <c r="I15">
        <v>41</v>
      </c>
      <c r="J15">
        <v>0.7592592592592593</v>
      </c>
      <c r="K15">
        <v>6</v>
      </c>
      <c r="L15">
        <v>53</v>
      </c>
      <c r="M15">
        <v>57</v>
      </c>
      <c r="P15" s="6"/>
      <c r="Q15" s="6" t="s">
        <v>967</v>
      </c>
      <c r="R15">
        <v>64</v>
      </c>
      <c r="V15" s="7">
        <f>R15/Q2</f>
        <v>1.6842105263157894</v>
      </c>
    </row>
    <row r="16" spans="1:22" x14ac:dyDescent="0.25">
      <c r="A16" s="6" t="s">
        <v>213</v>
      </c>
      <c r="B16">
        <v>852</v>
      </c>
      <c r="C16">
        <v>693</v>
      </c>
      <c r="D16">
        <v>0.81338028169014087</v>
      </c>
      <c r="E16">
        <v>507</v>
      </c>
      <c r="F16">
        <v>452</v>
      </c>
      <c r="G16">
        <v>0.89151873767258383</v>
      </c>
      <c r="H16">
        <v>33</v>
      </c>
      <c r="I16">
        <v>26</v>
      </c>
      <c r="J16">
        <v>0.78787878787878785</v>
      </c>
      <c r="K16">
        <v>45</v>
      </c>
      <c r="L16">
        <v>14</v>
      </c>
      <c r="M16">
        <v>57</v>
      </c>
      <c r="P16" s="6"/>
      <c r="Q16" s="6" t="s">
        <v>948</v>
      </c>
      <c r="R16">
        <v>59</v>
      </c>
      <c r="V16" s="7">
        <f>R16/Q2</f>
        <v>1.5526315789473684</v>
      </c>
    </row>
    <row r="17" spans="1:22" x14ac:dyDescent="0.25">
      <c r="A17" s="6" t="s">
        <v>226</v>
      </c>
      <c r="B17">
        <v>580</v>
      </c>
      <c r="C17">
        <v>499</v>
      </c>
      <c r="D17">
        <v>0.8603448275862069</v>
      </c>
      <c r="E17">
        <v>329</v>
      </c>
      <c r="F17">
        <v>302</v>
      </c>
      <c r="G17">
        <v>0.91793313069908811</v>
      </c>
      <c r="H17">
        <v>32</v>
      </c>
      <c r="I17">
        <v>23</v>
      </c>
      <c r="J17">
        <v>0.71875</v>
      </c>
      <c r="K17">
        <v>26</v>
      </c>
      <c r="L17">
        <v>15</v>
      </c>
      <c r="M17">
        <v>50</v>
      </c>
      <c r="P17" s="6"/>
      <c r="Q17" s="6"/>
      <c r="V17" s="7"/>
    </row>
    <row r="18" spans="1:22" x14ac:dyDescent="0.25">
      <c r="A18" s="6" t="s">
        <v>196</v>
      </c>
      <c r="B18">
        <v>443</v>
      </c>
      <c r="C18">
        <v>373</v>
      </c>
      <c r="D18">
        <v>0.84198645598194133</v>
      </c>
      <c r="E18">
        <v>255</v>
      </c>
      <c r="F18">
        <v>233</v>
      </c>
      <c r="G18">
        <v>0.9137254901960784</v>
      </c>
      <c r="H18">
        <v>23</v>
      </c>
      <c r="I18">
        <v>11</v>
      </c>
      <c r="J18">
        <v>0.47826086956521741</v>
      </c>
      <c r="K18">
        <v>9</v>
      </c>
      <c r="L18">
        <v>23</v>
      </c>
      <c r="M18">
        <v>34</v>
      </c>
      <c r="P18" t="s">
        <v>1007</v>
      </c>
      <c r="Q18" s="6" t="s">
        <v>242</v>
      </c>
      <c r="R18">
        <v>378</v>
      </c>
      <c r="U18" t="s">
        <v>968</v>
      </c>
      <c r="V18" s="7">
        <f>R18/Q2</f>
        <v>9.9473684210526319</v>
      </c>
    </row>
    <row r="19" spans="1:22" x14ac:dyDescent="0.25">
      <c r="A19" s="6" t="s">
        <v>133</v>
      </c>
      <c r="B19">
        <v>568</v>
      </c>
      <c r="C19">
        <v>518</v>
      </c>
      <c r="D19">
        <v>0.9119718309859155</v>
      </c>
      <c r="E19">
        <v>351</v>
      </c>
      <c r="F19">
        <v>339</v>
      </c>
      <c r="G19">
        <v>0.96581196581196582</v>
      </c>
      <c r="H19">
        <v>20</v>
      </c>
      <c r="I19">
        <v>12</v>
      </c>
      <c r="J19">
        <v>0.6</v>
      </c>
      <c r="K19">
        <v>13</v>
      </c>
      <c r="L19">
        <v>29</v>
      </c>
      <c r="M19">
        <v>33</v>
      </c>
    </row>
    <row r="20" spans="1:22" x14ac:dyDescent="0.25">
      <c r="A20" s="6" t="s">
        <v>50</v>
      </c>
      <c r="B20">
        <v>388</v>
      </c>
      <c r="C20">
        <v>295</v>
      </c>
      <c r="D20">
        <v>0.76030927835051543</v>
      </c>
      <c r="E20">
        <v>242</v>
      </c>
      <c r="F20">
        <v>197</v>
      </c>
      <c r="G20">
        <v>0.81404958677685946</v>
      </c>
      <c r="H20">
        <v>8</v>
      </c>
      <c r="I20">
        <v>5</v>
      </c>
      <c r="J20">
        <v>0.625</v>
      </c>
      <c r="K20">
        <v>29</v>
      </c>
      <c r="L20">
        <v>16</v>
      </c>
      <c r="M20">
        <v>26</v>
      </c>
      <c r="P20" t="s">
        <v>1008</v>
      </c>
      <c r="Q20" s="6" t="s">
        <v>242</v>
      </c>
      <c r="R20">
        <v>376</v>
      </c>
      <c r="U20" t="s">
        <v>968</v>
      </c>
      <c r="V20" s="7">
        <f>R20/Q2</f>
        <v>9.8947368421052637</v>
      </c>
    </row>
    <row r="21" spans="1:22" x14ac:dyDescent="0.25">
      <c r="A21" s="6" t="s">
        <v>368</v>
      </c>
      <c r="B21">
        <v>177</v>
      </c>
      <c r="C21">
        <v>155</v>
      </c>
      <c r="D21">
        <v>0.87570621468926557</v>
      </c>
      <c r="E21">
        <v>107</v>
      </c>
      <c r="F21">
        <v>101</v>
      </c>
      <c r="G21">
        <v>0.94392523364485981</v>
      </c>
      <c r="H21">
        <v>4</v>
      </c>
      <c r="I21">
        <v>4</v>
      </c>
      <c r="J21">
        <v>1</v>
      </c>
      <c r="K21">
        <v>9</v>
      </c>
      <c r="L21">
        <v>3</v>
      </c>
      <c r="M21">
        <v>25</v>
      </c>
    </row>
    <row r="22" spans="1:22" x14ac:dyDescent="0.25">
      <c r="A22" s="6" t="s">
        <v>370</v>
      </c>
      <c r="B22">
        <v>70</v>
      </c>
      <c r="C22">
        <v>62</v>
      </c>
      <c r="D22">
        <v>0.88571428571428568</v>
      </c>
      <c r="E22">
        <v>32</v>
      </c>
      <c r="F22">
        <v>31</v>
      </c>
      <c r="G22">
        <v>0.96875</v>
      </c>
      <c r="H22">
        <v>10</v>
      </c>
      <c r="I22">
        <v>7</v>
      </c>
      <c r="J22">
        <v>0.7</v>
      </c>
      <c r="K22">
        <v>0</v>
      </c>
      <c r="L22">
        <v>8</v>
      </c>
      <c r="M22">
        <v>7</v>
      </c>
    </row>
    <row r="23" spans="1:22" x14ac:dyDescent="0.25">
      <c r="A23" s="6" t="s">
        <v>154</v>
      </c>
      <c r="B23">
        <v>1234</v>
      </c>
      <c r="C23">
        <v>1077</v>
      </c>
      <c r="D23">
        <v>0.87277147487844409</v>
      </c>
      <c r="E23">
        <v>276</v>
      </c>
      <c r="F23">
        <v>275</v>
      </c>
      <c r="G23">
        <v>0.99637681159420288</v>
      </c>
      <c r="H23">
        <v>381</v>
      </c>
      <c r="I23">
        <v>239</v>
      </c>
      <c r="J23">
        <v>0.62729658792650922</v>
      </c>
      <c r="K23">
        <v>1</v>
      </c>
      <c r="L23">
        <v>25</v>
      </c>
      <c r="M23">
        <v>4</v>
      </c>
    </row>
    <row r="24" spans="1:22" x14ac:dyDescent="0.25">
      <c r="A24" s="6" t="s">
        <v>371</v>
      </c>
      <c r="B24">
        <v>54</v>
      </c>
      <c r="C24">
        <v>46</v>
      </c>
      <c r="D24">
        <v>0.85185185185185186</v>
      </c>
      <c r="E24">
        <v>31</v>
      </c>
      <c r="F24">
        <v>29</v>
      </c>
      <c r="G24">
        <v>0.93548387096774188</v>
      </c>
      <c r="H24">
        <v>2</v>
      </c>
      <c r="I24">
        <v>1</v>
      </c>
      <c r="J24">
        <v>0.5</v>
      </c>
      <c r="K24">
        <v>1</v>
      </c>
      <c r="L24">
        <v>1</v>
      </c>
      <c r="M24">
        <v>2</v>
      </c>
    </row>
    <row r="25" spans="1:22" x14ac:dyDescent="0.25">
      <c r="A25" s="6" t="s">
        <v>374</v>
      </c>
      <c r="B25">
        <v>5</v>
      </c>
      <c r="C25">
        <v>4</v>
      </c>
      <c r="D25">
        <v>0.8</v>
      </c>
      <c r="E25">
        <v>2</v>
      </c>
      <c r="F25">
        <v>2</v>
      </c>
      <c r="G25">
        <v>1</v>
      </c>
      <c r="H25">
        <v>0</v>
      </c>
      <c r="I25">
        <v>0</v>
      </c>
      <c r="J25" t="e">
        <v>#DIV/0!</v>
      </c>
      <c r="K25">
        <v>0</v>
      </c>
      <c r="L25">
        <v>0</v>
      </c>
      <c r="M25">
        <v>0</v>
      </c>
    </row>
    <row r="26" spans="1:22" x14ac:dyDescent="0.25">
      <c r="A26" s="6" t="s">
        <v>373</v>
      </c>
      <c r="B26">
        <v>11</v>
      </c>
      <c r="C26">
        <v>11</v>
      </c>
      <c r="D26">
        <v>1</v>
      </c>
      <c r="E26">
        <v>4</v>
      </c>
      <c r="F26">
        <v>4</v>
      </c>
      <c r="G26">
        <v>1</v>
      </c>
      <c r="H26">
        <v>0</v>
      </c>
      <c r="I26">
        <v>0</v>
      </c>
      <c r="J26" t="e">
        <v>#DIV/0!</v>
      </c>
      <c r="K26">
        <v>0</v>
      </c>
      <c r="L26">
        <v>0</v>
      </c>
      <c r="M26">
        <v>0</v>
      </c>
    </row>
    <row r="27" spans="1:22" x14ac:dyDescent="0.25">
      <c r="A27" s="6" t="s">
        <v>211</v>
      </c>
      <c r="B27">
        <v>266</v>
      </c>
      <c r="C27">
        <v>213</v>
      </c>
      <c r="D27">
        <v>0.8007518796992481</v>
      </c>
      <c r="E27">
        <v>58</v>
      </c>
      <c r="F27">
        <v>58</v>
      </c>
      <c r="G27">
        <v>1</v>
      </c>
      <c r="H27">
        <v>96</v>
      </c>
      <c r="I27">
        <v>46</v>
      </c>
      <c r="J27">
        <v>0.47916666666666669</v>
      </c>
      <c r="K27">
        <v>0</v>
      </c>
      <c r="L27">
        <v>2</v>
      </c>
      <c r="M27">
        <v>0</v>
      </c>
    </row>
    <row r="28" spans="1:22" x14ac:dyDescent="0.25">
      <c r="A28" s="6" t="s">
        <v>248</v>
      </c>
      <c r="B28">
        <v>0</v>
      </c>
      <c r="C28">
        <v>0</v>
      </c>
      <c r="D28" t="e">
        <v>#DIV/0!</v>
      </c>
      <c r="E28">
        <v>0</v>
      </c>
      <c r="F28">
        <v>0</v>
      </c>
      <c r="G28" t="e">
        <v>#DIV/0!</v>
      </c>
      <c r="H28">
        <v>0</v>
      </c>
      <c r="I28">
        <v>0</v>
      </c>
      <c r="J28" t="e">
        <v>#DIV/0!</v>
      </c>
      <c r="K28">
        <v>0</v>
      </c>
      <c r="L28">
        <v>0</v>
      </c>
      <c r="M28">
        <v>0</v>
      </c>
    </row>
    <row r="29" spans="1:22" x14ac:dyDescent="0.25">
      <c r="A29" s="6" t="s">
        <v>927</v>
      </c>
      <c r="B29">
        <v>27758</v>
      </c>
      <c r="C29">
        <v>24616</v>
      </c>
      <c r="D29">
        <v>0.88680740687369408</v>
      </c>
      <c r="E29">
        <v>13721</v>
      </c>
      <c r="F29">
        <v>12895</v>
      </c>
      <c r="G29">
        <v>0.93980030610013843</v>
      </c>
      <c r="H29">
        <v>2498</v>
      </c>
      <c r="I29">
        <v>1652</v>
      </c>
      <c r="J29">
        <v>0.66132906325060048</v>
      </c>
      <c r="K29">
        <v>545</v>
      </c>
      <c r="L29">
        <v>1890</v>
      </c>
      <c r="M29">
        <v>2060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3BDF-D2D3-42CD-80A4-8DEC5656FA3C}">
  <dimension ref="A1:S31"/>
  <sheetViews>
    <sheetView workbookViewId="0">
      <selection activeCell="N5" sqref="N5"/>
    </sheetView>
  </sheetViews>
  <sheetFormatPr defaultRowHeight="15" x14ac:dyDescent="0.25"/>
  <cols>
    <col min="1" max="1" width="21.85546875" bestFit="1" customWidth="1"/>
    <col min="2" max="3" width="7.7109375" customWidth="1"/>
    <col min="4" max="6" width="11.42578125" bestFit="1" customWidth="1"/>
    <col min="7" max="13" width="12.42578125" bestFit="1" customWidth="1"/>
    <col min="14" max="14" width="12.42578125" style="7" bestFit="1" customWidth="1"/>
    <col min="15" max="15" width="12.42578125" bestFit="1" customWidth="1"/>
    <col min="16" max="16" width="11.140625" customWidth="1"/>
    <col min="17" max="19" width="12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8</v>
      </c>
      <c r="G1" t="s">
        <v>10</v>
      </c>
      <c r="H1" t="s">
        <v>11</v>
      </c>
      <c r="I1" t="s">
        <v>13</v>
      </c>
      <c r="J1" t="s">
        <v>14</v>
      </c>
      <c r="K1" t="s">
        <v>16</v>
      </c>
      <c r="L1" t="s">
        <v>17</v>
      </c>
      <c r="M1" t="s">
        <v>19</v>
      </c>
      <c r="N1" s="7" t="s">
        <v>21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25">
      <c r="A2" t="s">
        <v>30</v>
      </c>
      <c r="B2" t="s">
        <v>30</v>
      </c>
      <c r="C2" t="s">
        <v>30</v>
      </c>
      <c r="D2" s="2" t="s">
        <v>402</v>
      </c>
      <c r="E2" s="2" t="s">
        <v>402</v>
      </c>
      <c r="F2" s="2" t="s">
        <v>402</v>
      </c>
      <c r="G2" s="2" t="s">
        <v>403</v>
      </c>
      <c r="H2" s="2" t="s">
        <v>403</v>
      </c>
      <c r="I2" s="2" t="s">
        <v>404</v>
      </c>
      <c r="J2" s="2" t="s">
        <v>404</v>
      </c>
      <c r="K2" s="2" t="s">
        <v>405</v>
      </c>
      <c r="L2" s="2" t="s">
        <v>405</v>
      </c>
      <c r="M2" s="2" t="s">
        <v>30</v>
      </c>
      <c r="N2" s="14" t="s">
        <v>33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</row>
    <row r="3" spans="1:19" x14ac:dyDescent="0.25">
      <c r="A3" t="s">
        <v>36</v>
      </c>
      <c r="B3" t="s">
        <v>37</v>
      </c>
      <c r="C3" t="s">
        <v>38</v>
      </c>
      <c r="D3" t="s">
        <v>979</v>
      </c>
      <c r="E3" t="s">
        <v>980</v>
      </c>
      <c r="F3" t="s">
        <v>981</v>
      </c>
      <c r="G3" t="s">
        <v>979</v>
      </c>
      <c r="H3" t="s">
        <v>980</v>
      </c>
      <c r="I3" t="s">
        <v>979</v>
      </c>
      <c r="J3" t="s">
        <v>980</v>
      </c>
      <c r="K3" t="s">
        <v>979</v>
      </c>
      <c r="L3" t="s">
        <v>980</v>
      </c>
      <c r="M3" t="s">
        <v>982</v>
      </c>
      <c r="N3" s="7" t="s">
        <v>409</v>
      </c>
      <c r="O3" t="s">
        <v>983</v>
      </c>
      <c r="P3" t="s">
        <v>984</v>
      </c>
      <c r="Q3" t="s">
        <v>986</v>
      </c>
      <c r="R3" t="s">
        <v>985</v>
      </c>
      <c r="S3" t="s">
        <v>987</v>
      </c>
    </row>
    <row r="4" spans="1:19" x14ac:dyDescent="0.25">
      <c r="A4" t="s">
        <v>50</v>
      </c>
      <c r="B4" t="s">
        <v>902</v>
      </c>
      <c r="C4" t="s">
        <v>52</v>
      </c>
      <c r="D4">
        <v>187</v>
      </c>
      <c r="E4">
        <v>288</v>
      </c>
      <c r="F4">
        <v>2275</v>
      </c>
      <c r="G4">
        <v>130</v>
      </c>
      <c r="H4">
        <v>188</v>
      </c>
      <c r="I4">
        <v>40</v>
      </c>
      <c r="J4">
        <v>61</v>
      </c>
      <c r="K4">
        <v>4</v>
      </c>
      <c r="L4">
        <v>6</v>
      </c>
      <c r="M4">
        <v>2</v>
      </c>
      <c r="N4" s="7" t="s">
        <v>182</v>
      </c>
      <c r="O4">
        <v>22</v>
      </c>
      <c r="P4">
        <v>8</v>
      </c>
      <c r="Q4">
        <v>5</v>
      </c>
      <c r="R4">
        <v>1</v>
      </c>
      <c r="S4">
        <v>15</v>
      </c>
    </row>
    <row r="5" spans="1:19" x14ac:dyDescent="0.25">
      <c r="A5" t="s">
        <v>75</v>
      </c>
      <c r="B5" t="s">
        <v>903</v>
      </c>
      <c r="C5" t="s">
        <v>77</v>
      </c>
      <c r="D5">
        <v>1515</v>
      </c>
      <c r="E5">
        <v>1669</v>
      </c>
      <c r="F5">
        <v>23609</v>
      </c>
      <c r="G5">
        <v>797</v>
      </c>
      <c r="H5">
        <v>845</v>
      </c>
      <c r="I5">
        <v>647</v>
      </c>
      <c r="J5">
        <v>699</v>
      </c>
      <c r="K5">
        <v>52</v>
      </c>
      <c r="L5">
        <v>79</v>
      </c>
      <c r="M5">
        <v>0</v>
      </c>
      <c r="N5" s="7" t="s">
        <v>417</v>
      </c>
      <c r="O5">
        <v>18</v>
      </c>
      <c r="P5">
        <v>139</v>
      </c>
      <c r="Q5">
        <v>17</v>
      </c>
      <c r="R5">
        <v>1</v>
      </c>
      <c r="S5">
        <v>163</v>
      </c>
    </row>
    <row r="6" spans="1:19" x14ac:dyDescent="0.25">
      <c r="A6" t="s">
        <v>95</v>
      </c>
      <c r="B6" t="s">
        <v>904</v>
      </c>
      <c r="C6" t="s">
        <v>97</v>
      </c>
      <c r="D6">
        <v>1038</v>
      </c>
      <c r="E6">
        <v>1203</v>
      </c>
      <c r="F6">
        <v>15704</v>
      </c>
      <c r="G6">
        <v>588</v>
      </c>
      <c r="H6">
        <v>639</v>
      </c>
      <c r="I6">
        <v>378</v>
      </c>
      <c r="J6">
        <v>435</v>
      </c>
      <c r="K6">
        <v>51</v>
      </c>
      <c r="L6">
        <v>78</v>
      </c>
      <c r="M6">
        <v>4</v>
      </c>
      <c r="N6" s="7" t="s">
        <v>421</v>
      </c>
      <c r="O6">
        <v>38</v>
      </c>
      <c r="P6">
        <v>55</v>
      </c>
      <c r="Q6">
        <v>21</v>
      </c>
      <c r="R6">
        <v>6</v>
      </c>
      <c r="S6">
        <v>89</v>
      </c>
    </row>
    <row r="7" spans="1:19" x14ac:dyDescent="0.25">
      <c r="A7" t="s">
        <v>110</v>
      </c>
      <c r="B7" t="s">
        <v>905</v>
      </c>
      <c r="C7" t="s">
        <v>77</v>
      </c>
      <c r="D7">
        <v>1389</v>
      </c>
      <c r="E7">
        <v>1479</v>
      </c>
      <c r="F7">
        <v>22799</v>
      </c>
      <c r="G7">
        <v>666</v>
      </c>
      <c r="H7">
        <v>694</v>
      </c>
      <c r="I7">
        <v>641</v>
      </c>
      <c r="J7">
        <v>671</v>
      </c>
      <c r="K7">
        <v>68</v>
      </c>
      <c r="L7">
        <v>92</v>
      </c>
      <c r="M7">
        <v>0</v>
      </c>
      <c r="N7" s="7" t="s">
        <v>117</v>
      </c>
      <c r="O7">
        <v>9</v>
      </c>
      <c r="P7">
        <v>149</v>
      </c>
      <c r="Q7">
        <v>11</v>
      </c>
      <c r="R7">
        <v>2</v>
      </c>
      <c r="S7">
        <v>135</v>
      </c>
    </row>
    <row r="8" spans="1:19" x14ac:dyDescent="0.25">
      <c r="A8" t="s">
        <v>122</v>
      </c>
      <c r="B8" t="s">
        <v>903</v>
      </c>
      <c r="C8" t="s">
        <v>123</v>
      </c>
      <c r="D8">
        <v>1221</v>
      </c>
      <c r="E8">
        <v>1309</v>
      </c>
      <c r="F8">
        <v>18740</v>
      </c>
      <c r="G8">
        <v>663</v>
      </c>
      <c r="H8">
        <v>696</v>
      </c>
      <c r="I8">
        <v>500</v>
      </c>
      <c r="J8">
        <v>524</v>
      </c>
      <c r="K8">
        <v>43</v>
      </c>
      <c r="L8">
        <v>60</v>
      </c>
      <c r="M8">
        <v>1</v>
      </c>
      <c r="N8" s="7" t="s">
        <v>189</v>
      </c>
      <c r="O8">
        <v>26</v>
      </c>
      <c r="P8">
        <v>133</v>
      </c>
      <c r="Q8">
        <v>20</v>
      </c>
      <c r="R8">
        <v>0</v>
      </c>
      <c r="S8">
        <v>109</v>
      </c>
    </row>
    <row r="9" spans="1:19" x14ac:dyDescent="0.25">
      <c r="A9" t="s">
        <v>133</v>
      </c>
      <c r="B9" t="s">
        <v>906</v>
      </c>
      <c r="C9" t="s">
        <v>135</v>
      </c>
      <c r="D9">
        <v>832</v>
      </c>
      <c r="E9">
        <v>903</v>
      </c>
      <c r="F9">
        <v>11874</v>
      </c>
      <c r="G9">
        <v>512</v>
      </c>
      <c r="H9">
        <v>541</v>
      </c>
      <c r="I9">
        <v>286</v>
      </c>
      <c r="J9">
        <v>304</v>
      </c>
      <c r="K9">
        <v>23</v>
      </c>
      <c r="L9">
        <v>31</v>
      </c>
      <c r="M9">
        <v>2</v>
      </c>
      <c r="N9" s="7" t="s">
        <v>215</v>
      </c>
      <c r="O9">
        <v>7</v>
      </c>
      <c r="P9">
        <v>69</v>
      </c>
      <c r="Q9">
        <v>13</v>
      </c>
      <c r="R9">
        <v>0</v>
      </c>
      <c r="S9">
        <v>80</v>
      </c>
    </row>
    <row r="10" spans="1:19" x14ac:dyDescent="0.25">
      <c r="A10" t="s">
        <v>142</v>
      </c>
      <c r="B10" t="s">
        <v>906</v>
      </c>
      <c r="C10" t="s">
        <v>97</v>
      </c>
      <c r="D10">
        <v>626</v>
      </c>
      <c r="E10">
        <v>737</v>
      </c>
      <c r="F10">
        <v>9840</v>
      </c>
      <c r="G10">
        <v>369</v>
      </c>
      <c r="H10">
        <v>404</v>
      </c>
      <c r="I10">
        <v>192</v>
      </c>
      <c r="J10">
        <v>214</v>
      </c>
      <c r="K10">
        <v>54</v>
      </c>
      <c r="L10">
        <v>87</v>
      </c>
      <c r="M10">
        <v>2</v>
      </c>
      <c r="N10" s="7" t="s">
        <v>127</v>
      </c>
      <c r="O10">
        <v>35</v>
      </c>
      <c r="P10">
        <v>34</v>
      </c>
      <c r="Q10">
        <v>33</v>
      </c>
      <c r="R10">
        <v>5</v>
      </c>
      <c r="S10">
        <v>81</v>
      </c>
    </row>
    <row r="11" spans="1:19" x14ac:dyDescent="0.25">
      <c r="A11" t="s">
        <v>154</v>
      </c>
      <c r="B11" t="s">
        <v>907</v>
      </c>
      <c r="C11" t="s">
        <v>156</v>
      </c>
      <c r="D11">
        <v>482</v>
      </c>
      <c r="E11">
        <v>559</v>
      </c>
      <c r="F11">
        <v>11861</v>
      </c>
      <c r="G11">
        <v>90</v>
      </c>
      <c r="H11">
        <v>90</v>
      </c>
      <c r="I11">
        <v>278</v>
      </c>
      <c r="J11">
        <v>284</v>
      </c>
      <c r="K11">
        <v>112</v>
      </c>
      <c r="L11">
        <v>182</v>
      </c>
      <c r="M11">
        <v>2</v>
      </c>
      <c r="N11" s="7" t="s">
        <v>158</v>
      </c>
      <c r="O11">
        <v>2</v>
      </c>
      <c r="P11">
        <v>14</v>
      </c>
      <c r="Q11">
        <v>1</v>
      </c>
      <c r="R11">
        <v>0</v>
      </c>
      <c r="S11">
        <v>1</v>
      </c>
    </row>
    <row r="12" spans="1:19" x14ac:dyDescent="0.25">
      <c r="A12" t="s">
        <v>161</v>
      </c>
      <c r="B12" t="s">
        <v>908</v>
      </c>
      <c r="C12" t="s">
        <v>123</v>
      </c>
      <c r="D12">
        <v>956</v>
      </c>
      <c r="E12">
        <v>1075</v>
      </c>
      <c r="F12">
        <v>14655</v>
      </c>
      <c r="G12">
        <v>540</v>
      </c>
      <c r="H12">
        <v>573</v>
      </c>
      <c r="I12">
        <v>340</v>
      </c>
      <c r="J12">
        <v>364</v>
      </c>
      <c r="K12">
        <v>55</v>
      </c>
      <c r="L12">
        <v>97</v>
      </c>
      <c r="M12">
        <v>1</v>
      </c>
      <c r="N12" s="7" t="s">
        <v>101</v>
      </c>
      <c r="O12">
        <v>24</v>
      </c>
      <c r="P12">
        <v>63</v>
      </c>
      <c r="Q12">
        <v>15</v>
      </c>
      <c r="R12">
        <v>1</v>
      </c>
      <c r="S12">
        <v>87</v>
      </c>
    </row>
    <row r="13" spans="1:19" x14ac:dyDescent="0.25">
      <c r="A13" t="s">
        <v>169</v>
      </c>
      <c r="B13" t="s">
        <v>907</v>
      </c>
      <c r="C13" t="s">
        <v>170</v>
      </c>
      <c r="D13">
        <v>458</v>
      </c>
      <c r="E13">
        <v>574</v>
      </c>
      <c r="F13">
        <v>6644</v>
      </c>
      <c r="G13">
        <v>297</v>
      </c>
      <c r="H13">
        <v>331</v>
      </c>
      <c r="I13">
        <v>130</v>
      </c>
      <c r="J13">
        <v>170</v>
      </c>
      <c r="K13">
        <v>22</v>
      </c>
      <c r="L13">
        <v>39</v>
      </c>
      <c r="M13">
        <v>6</v>
      </c>
      <c r="N13" s="7" t="s">
        <v>236</v>
      </c>
      <c r="O13">
        <v>31</v>
      </c>
      <c r="P13">
        <v>11</v>
      </c>
      <c r="Q13">
        <v>40</v>
      </c>
      <c r="R13">
        <v>8</v>
      </c>
      <c r="S13">
        <v>52</v>
      </c>
    </row>
    <row r="14" spans="1:19" x14ac:dyDescent="0.25">
      <c r="A14" t="s">
        <v>179</v>
      </c>
      <c r="B14" t="s">
        <v>904</v>
      </c>
      <c r="C14" t="s">
        <v>77</v>
      </c>
      <c r="D14">
        <v>1141</v>
      </c>
      <c r="E14">
        <v>1215</v>
      </c>
      <c r="F14">
        <v>19406</v>
      </c>
      <c r="G14">
        <v>489</v>
      </c>
      <c r="H14">
        <v>505</v>
      </c>
      <c r="I14">
        <v>579</v>
      </c>
      <c r="J14">
        <v>606</v>
      </c>
      <c r="K14">
        <v>56</v>
      </c>
      <c r="L14">
        <v>75</v>
      </c>
      <c r="M14">
        <v>0</v>
      </c>
      <c r="N14" s="7" t="s">
        <v>115</v>
      </c>
      <c r="O14">
        <v>5</v>
      </c>
      <c r="P14">
        <v>106</v>
      </c>
      <c r="Q14">
        <v>5</v>
      </c>
      <c r="R14">
        <v>0</v>
      </c>
      <c r="S14">
        <v>78</v>
      </c>
    </row>
    <row r="15" spans="1:19" x14ac:dyDescent="0.25">
      <c r="A15" t="s">
        <v>183</v>
      </c>
      <c r="B15" t="s">
        <v>909</v>
      </c>
      <c r="C15" t="s">
        <v>123</v>
      </c>
      <c r="D15">
        <v>589</v>
      </c>
      <c r="E15">
        <v>764</v>
      </c>
      <c r="F15">
        <v>9990</v>
      </c>
      <c r="G15">
        <v>300</v>
      </c>
      <c r="H15">
        <v>350</v>
      </c>
      <c r="I15">
        <v>232</v>
      </c>
      <c r="J15">
        <v>292</v>
      </c>
      <c r="K15">
        <v>51</v>
      </c>
      <c r="L15">
        <v>84</v>
      </c>
      <c r="M15">
        <v>6</v>
      </c>
      <c r="N15" s="7" t="s">
        <v>346</v>
      </c>
      <c r="O15">
        <v>39</v>
      </c>
      <c r="P15">
        <v>55</v>
      </c>
      <c r="Q15">
        <v>42</v>
      </c>
      <c r="R15">
        <v>8</v>
      </c>
      <c r="S15">
        <v>106</v>
      </c>
    </row>
    <row r="16" spans="1:19" x14ac:dyDescent="0.25">
      <c r="A16" t="s">
        <v>196</v>
      </c>
      <c r="B16" t="s">
        <v>904</v>
      </c>
      <c r="C16" t="s">
        <v>135</v>
      </c>
      <c r="D16">
        <v>503</v>
      </c>
      <c r="E16">
        <v>600</v>
      </c>
      <c r="F16">
        <v>7759</v>
      </c>
      <c r="G16">
        <v>285</v>
      </c>
      <c r="H16">
        <v>318</v>
      </c>
      <c r="I16">
        <v>182</v>
      </c>
      <c r="J16">
        <v>216</v>
      </c>
      <c r="K16">
        <v>29</v>
      </c>
      <c r="L16">
        <v>42</v>
      </c>
      <c r="M16">
        <v>4</v>
      </c>
      <c r="N16" s="7" t="s">
        <v>63</v>
      </c>
      <c r="O16">
        <v>18</v>
      </c>
      <c r="P16">
        <v>16</v>
      </c>
      <c r="Q16">
        <v>19</v>
      </c>
      <c r="R16">
        <v>6</v>
      </c>
      <c r="S16">
        <v>34</v>
      </c>
    </row>
    <row r="17" spans="1:19" x14ac:dyDescent="0.25">
      <c r="A17" t="s">
        <v>204</v>
      </c>
      <c r="B17" t="s">
        <v>906</v>
      </c>
      <c r="C17" t="s">
        <v>77</v>
      </c>
      <c r="D17">
        <v>724</v>
      </c>
      <c r="E17">
        <v>826</v>
      </c>
      <c r="F17">
        <v>11928</v>
      </c>
      <c r="G17">
        <v>367</v>
      </c>
      <c r="H17">
        <v>388</v>
      </c>
      <c r="I17">
        <v>305</v>
      </c>
      <c r="J17">
        <v>334</v>
      </c>
      <c r="K17">
        <v>42</v>
      </c>
      <c r="L17">
        <v>82</v>
      </c>
      <c r="M17">
        <v>0</v>
      </c>
      <c r="N17" s="7" t="s">
        <v>182</v>
      </c>
      <c r="O17">
        <v>7</v>
      </c>
      <c r="P17">
        <v>63</v>
      </c>
      <c r="Q17">
        <v>7</v>
      </c>
      <c r="R17">
        <v>4</v>
      </c>
      <c r="S17">
        <v>64</v>
      </c>
    </row>
    <row r="18" spans="1:19" x14ac:dyDescent="0.25">
      <c r="A18" t="s">
        <v>211</v>
      </c>
      <c r="B18" t="s">
        <v>908</v>
      </c>
      <c r="C18" t="s">
        <v>156</v>
      </c>
      <c r="D18">
        <v>280</v>
      </c>
      <c r="E18">
        <v>333</v>
      </c>
      <c r="F18">
        <v>6128</v>
      </c>
      <c r="G18">
        <v>85</v>
      </c>
      <c r="H18">
        <v>87</v>
      </c>
      <c r="I18">
        <v>135</v>
      </c>
      <c r="J18">
        <v>138</v>
      </c>
      <c r="K18">
        <v>58</v>
      </c>
      <c r="L18">
        <v>104</v>
      </c>
      <c r="M18">
        <v>0</v>
      </c>
      <c r="N18" s="7" t="s">
        <v>158</v>
      </c>
      <c r="O18">
        <v>0</v>
      </c>
      <c r="P18">
        <v>3</v>
      </c>
      <c r="Q18">
        <v>0</v>
      </c>
      <c r="R18">
        <v>0</v>
      </c>
      <c r="S18">
        <v>0</v>
      </c>
    </row>
    <row r="19" spans="1:19" x14ac:dyDescent="0.25">
      <c r="A19" t="s">
        <v>213</v>
      </c>
      <c r="B19" t="s">
        <v>909</v>
      </c>
      <c r="C19" t="s">
        <v>170</v>
      </c>
      <c r="D19">
        <v>311</v>
      </c>
      <c r="E19">
        <v>391</v>
      </c>
      <c r="F19">
        <v>4358</v>
      </c>
      <c r="G19">
        <v>207</v>
      </c>
      <c r="H19">
        <v>241</v>
      </c>
      <c r="I19">
        <v>95</v>
      </c>
      <c r="J19">
        <v>116</v>
      </c>
      <c r="K19">
        <v>7</v>
      </c>
      <c r="L19">
        <v>11</v>
      </c>
      <c r="M19">
        <v>4</v>
      </c>
      <c r="N19" s="7" t="s">
        <v>365</v>
      </c>
      <c r="O19">
        <v>16</v>
      </c>
      <c r="P19">
        <v>3</v>
      </c>
      <c r="Q19">
        <v>28</v>
      </c>
      <c r="R19">
        <v>3</v>
      </c>
      <c r="S19">
        <v>36</v>
      </c>
    </row>
    <row r="20" spans="1:19" x14ac:dyDescent="0.25">
      <c r="A20" t="s">
        <v>221</v>
      </c>
      <c r="B20" t="s">
        <v>910</v>
      </c>
      <c r="C20" t="s">
        <v>77</v>
      </c>
      <c r="D20">
        <v>439</v>
      </c>
      <c r="E20">
        <v>469</v>
      </c>
      <c r="F20">
        <v>7148</v>
      </c>
      <c r="G20">
        <v>216</v>
      </c>
      <c r="H20">
        <v>221</v>
      </c>
      <c r="I20">
        <v>202</v>
      </c>
      <c r="J20">
        <v>208</v>
      </c>
      <c r="K20">
        <v>17</v>
      </c>
      <c r="L20">
        <v>29</v>
      </c>
      <c r="M20">
        <v>0</v>
      </c>
      <c r="N20" s="7" t="s">
        <v>206</v>
      </c>
      <c r="O20">
        <v>0</v>
      </c>
      <c r="P20">
        <v>32</v>
      </c>
      <c r="Q20">
        <v>1</v>
      </c>
      <c r="R20">
        <v>0</v>
      </c>
      <c r="S20">
        <v>39</v>
      </c>
    </row>
    <row r="21" spans="1:19" x14ac:dyDescent="0.25">
      <c r="A21" t="s">
        <v>226</v>
      </c>
      <c r="B21" t="s">
        <v>906</v>
      </c>
      <c r="C21" t="s">
        <v>170</v>
      </c>
      <c r="D21">
        <v>321</v>
      </c>
      <c r="E21">
        <v>369</v>
      </c>
      <c r="F21">
        <v>4826</v>
      </c>
      <c r="G21">
        <v>206</v>
      </c>
      <c r="H21">
        <v>221</v>
      </c>
      <c r="I21">
        <v>101</v>
      </c>
      <c r="J21">
        <v>115</v>
      </c>
      <c r="K21">
        <v>13</v>
      </c>
      <c r="L21">
        <v>21</v>
      </c>
      <c r="M21">
        <v>1</v>
      </c>
      <c r="N21" s="7" t="s">
        <v>84</v>
      </c>
      <c r="O21">
        <v>22</v>
      </c>
      <c r="P21">
        <v>16</v>
      </c>
      <c r="Q21">
        <v>13</v>
      </c>
      <c r="R21">
        <v>0</v>
      </c>
      <c r="S21">
        <v>43</v>
      </c>
    </row>
    <row r="22" spans="1:19" x14ac:dyDescent="0.25">
      <c r="A22" t="s">
        <v>235</v>
      </c>
      <c r="B22" t="s">
        <v>906</v>
      </c>
      <c r="C22" t="s">
        <v>135</v>
      </c>
      <c r="D22">
        <v>321</v>
      </c>
      <c r="E22">
        <v>354</v>
      </c>
      <c r="F22">
        <v>5568</v>
      </c>
      <c r="G22">
        <v>151</v>
      </c>
      <c r="H22">
        <v>160</v>
      </c>
      <c r="I22">
        <v>136</v>
      </c>
      <c r="J22">
        <v>148</v>
      </c>
      <c r="K22">
        <v>28</v>
      </c>
      <c r="L22">
        <v>36</v>
      </c>
      <c r="M22">
        <v>0</v>
      </c>
      <c r="N22" s="7" t="s">
        <v>225</v>
      </c>
      <c r="O22">
        <v>2</v>
      </c>
      <c r="P22">
        <v>40</v>
      </c>
      <c r="Q22">
        <v>0</v>
      </c>
      <c r="R22">
        <v>0</v>
      </c>
      <c r="S22">
        <v>20</v>
      </c>
    </row>
    <row r="23" spans="1:19" x14ac:dyDescent="0.25">
      <c r="A23" t="s">
        <v>238</v>
      </c>
      <c r="B23" t="s">
        <v>911</v>
      </c>
      <c r="C23" t="s">
        <v>170</v>
      </c>
      <c r="D23">
        <v>32</v>
      </c>
      <c r="E23">
        <v>40</v>
      </c>
      <c r="F23">
        <v>449</v>
      </c>
      <c r="G23">
        <v>22</v>
      </c>
      <c r="H23">
        <v>26</v>
      </c>
      <c r="I23">
        <v>6</v>
      </c>
      <c r="J23">
        <v>7</v>
      </c>
      <c r="K23">
        <v>3</v>
      </c>
      <c r="L23">
        <v>4</v>
      </c>
      <c r="M23">
        <v>0</v>
      </c>
      <c r="N23" s="7" t="s">
        <v>116</v>
      </c>
      <c r="O23">
        <v>4</v>
      </c>
      <c r="P23">
        <v>1</v>
      </c>
      <c r="Q23">
        <v>3</v>
      </c>
      <c r="R23">
        <v>1</v>
      </c>
      <c r="S23">
        <v>3</v>
      </c>
    </row>
    <row r="24" spans="1:19" x14ac:dyDescent="0.25">
      <c r="A24" t="s">
        <v>241</v>
      </c>
      <c r="B24" t="s">
        <v>906</v>
      </c>
      <c r="C24" t="s">
        <v>77</v>
      </c>
      <c r="D24">
        <v>107</v>
      </c>
      <c r="E24">
        <v>115</v>
      </c>
      <c r="F24">
        <v>1754</v>
      </c>
      <c r="G24">
        <v>47</v>
      </c>
      <c r="H24">
        <v>49</v>
      </c>
      <c r="I24">
        <v>57</v>
      </c>
      <c r="J24">
        <v>59</v>
      </c>
      <c r="K24">
        <v>3</v>
      </c>
      <c r="L24">
        <v>7</v>
      </c>
      <c r="M24">
        <v>0</v>
      </c>
      <c r="N24" s="7" t="s">
        <v>158</v>
      </c>
      <c r="O24">
        <v>0</v>
      </c>
      <c r="P24">
        <v>3</v>
      </c>
      <c r="Q24">
        <v>0</v>
      </c>
      <c r="R24">
        <v>0</v>
      </c>
      <c r="S24">
        <v>3</v>
      </c>
    </row>
    <row r="25" spans="1:19" x14ac:dyDescent="0.25">
      <c r="A25" t="s">
        <v>242</v>
      </c>
      <c r="B25" t="s">
        <v>912</v>
      </c>
      <c r="C25" t="s">
        <v>123</v>
      </c>
      <c r="D25">
        <v>57</v>
      </c>
      <c r="E25">
        <v>61</v>
      </c>
      <c r="F25">
        <v>1056</v>
      </c>
      <c r="G25">
        <v>25</v>
      </c>
      <c r="H25">
        <v>26</v>
      </c>
      <c r="I25">
        <v>24</v>
      </c>
      <c r="J25">
        <v>27</v>
      </c>
      <c r="K25">
        <v>7</v>
      </c>
      <c r="L25">
        <v>7</v>
      </c>
      <c r="M25">
        <v>0</v>
      </c>
      <c r="N25" s="7" t="s">
        <v>206</v>
      </c>
      <c r="O25">
        <v>1</v>
      </c>
      <c r="P25">
        <v>3</v>
      </c>
      <c r="Q25">
        <v>1</v>
      </c>
      <c r="R25">
        <v>0</v>
      </c>
      <c r="S25">
        <v>4</v>
      </c>
    </row>
    <row r="26" spans="1:19" x14ac:dyDescent="0.25">
      <c r="A26" t="s">
        <v>245</v>
      </c>
      <c r="B26" t="s">
        <v>913</v>
      </c>
      <c r="C26" t="s">
        <v>77</v>
      </c>
      <c r="D26">
        <v>41</v>
      </c>
      <c r="E26">
        <v>48</v>
      </c>
      <c r="F26">
        <v>707</v>
      </c>
      <c r="G26">
        <v>17</v>
      </c>
      <c r="H26">
        <v>20</v>
      </c>
      <c r="I26">
        <v>22</v>
      </c>
      <c r="J26">
        <v>24</v>
      </c>
      <c r="K26">
        <v>1</v>
      </c>
      <c r="L26">
        <v>3</v>
      </c>
      <c r="M26">
        <v>0</v>
      </c>
      <c r="N26" s="7" t="s">
        <v>158</v>
      </c>
      <c r="O26">
        <v>0</v>
      </c>
      <c r="P26">
        <v>0</v>
      </c>
      <c r="Q26">
        <v>0</v>
      </c>
      <c r="R26">
        <v>0</v>
      </c>
      <c r="S26">
        <v>2</v>
      </c>
    </row>
    <row r="27" spans="1:19" x14ac:dyDescent="0.25">
      <c r="A27" t="s">
        <v>248</v>
      </c>
      <c r="B27" t="s">
        <v>906</v>
      </c>
      <c r="C27" t="s">
        <v>97</v>
      </c>
      <c r="D27">
        <v>40</v>
      </c>
      <c r="E27">
        <v>47</v>
      </c>
      <c r="F27">
        <v>620</v>
      </c>
      <c r="G27">
        <v>21</v>
      </c>
      <c r="H27">
        <v>25</v>
      </c>
      <c r="I27">
        <v>18</v>
      </c>
      <c r="J27">
        <v>20</v>
      </c>
      <c r="K27">
        <v>1</v>
      </c>
      <c r="L27">
        <v>2</v>
      </c>
      <c r="M27">
        <v>0</v>
      </c>
      <c r="N27" s="7" t="s">
        <v>158</v>
      </c>
      <c r="O27">
        <v>0</v>
      </c>
      <c r="P27">
        <v>3</v>
      </c>
      <c r="Q27">
        <v>0</v>
      </c>
      <c r="R27">
        <v>0</v>
      </c>
      <c r="S27">
        <v>3</v>
      </c>
    </row>
    <row r="28" spans="1:19" x14ac:dyDescent="0.25">
      <c r="A28" t="s">
        <v>251</v>
      </c>
      <c r="B28" t="s">
        <v>906</v>
      </c>
      <c r="C28" t="s">
        <v>52</v>
      </c>
      <c r="D28">
        <v>2</v>
      </c>
      <c r="E28">
        <v>3</v>
      </c>
      <c r="F28">
        <v>44</v>
      </c>
      <c r="G28">
        <v>1</v>
      </c>
      <c r="H28">
        <v>1</v>
      </c>
      <c r="I28">
        <v>0</v>
      </c>
      <c r="J28">
        <v>0</v>
      </c>
      <c r="K28">
        <v>1</v>
      </c>
      <c r="L28">
        <v>1</v>
      </c>
      <c r="M28">
        <v>0</v>
      </c>
      <c r="N28" s="7" t="s">
        <v>158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 x14ac:dyDescent="0.25">
      <c r="A29" t="s">
        <v>253</v>
      </c>
      <c r="B29" t="s">
        <v>906</v>
      </c>
      <c r="C29" t="s">
        <v>123</v>
      </c>
      <c r="D29">
        <v>11</v>
      </c>
      <c r="E29">
        <v>12</v>
      </c>
      <c r="F29">
        <v>135</v>
      </c>
      <c r="G29">
        <v>9</v>
      </c>
      <c r="H29">
        <v>9</v>
      </c>
      <c r="I29">
        <v>2</v>
      </c>
      <c r="J29">
        <v>3</v>
      </c>
      <c r="K29">
        <v>0</v>
      </c>
      <c r="L29">
        <v>0</v>
      </c>
      <c r="M29">
        <v>0</v>
      </c>
      <c r="N29" s="7" t="s">
        <v>158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261</v>
      </c>
      <c r="B30" t="s">
        <v>30</v>
      </c>
      <c r="C30" t="s">
        <v>30</v>
      </c>
      <c r="D30">
        <v>13623</v>
      </c>
      <c r="E30">
        <v>15443</v>
      </c>
      <c r="F30">
        <v>219877</v>
      </c>
      <c r="G30">
        <v>7100</v>
      </c>
      <c r="H30">
        <v>7648</v>
      </c>
      <c r="I30">
        <v>5528</v>
      </c>
      <c r="J30">
        <v>6039</v>
      </c>
      <c r="K30">
        <v>801</v>
      </c>
      <c r="L30">
        <v>1259</v>
      </c>
      <c r="M30">
        <v>35</v>
      </c>
      <c r="N30" s="7" t="s">
        <v>484</v>
      </c>
      <c r="O30">
        <v>326</v>
      </c>
      <c r="P30">
        <v>1019</v>
      </c>
      <c r="Q30">
        <v>295</v>
      </c>
      <c r="R30">
        <v>46</v>
      </c>
      <c r="S30">
        <v>1248</v>
      </c>
    </row>
    <row r="31" spans="1:19" x14ac:dyDescent="0.25">
      <c r="A31" t="s">
        <v>280</v>
      </c>
      <c r="B31" t="s">
        <v>30</v>
      </c>
      <c r="C31" t="s">
        <v>30</v>
      </c>
      <c r="D31">
        <v>8276</v>
      </c>
      <c r="E31">
        <v>10009</v>
      </c>
      <c r="F31">
        <v>142613</v>
      </c>
      <c r="G31">
        <v>3987</v>
      </c>
      <c r="H31">
        <v>4363</v>
      </c>
      <c r="I31">
        <v>3362</v>
      </c>
      <c r="J31">
        <v>3762</v>
      </c>
      <c r="K31">
        <v>738</v>
      </c>
      <c r="L31">
        <v>1400</v>
      </c>
      <c r="M31">
        <v>27</v>
      </c>
      <c r="N31" s="7" t="s">
        <v>485</v>
      </c>
      <c r="O31">
        <v>196</v>
      </c>
      <c r="P31">
        <v>546</v>
      </c>
      <c r="Q31">
        <v>157</v>
      </c>
      <c r="R31">
        <v>45</v>
      </c>
      <c r="S31">
        <v>587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436D-CFFB-439E-AA30-534B2172C35F}">
  <dimension ref="A1:S30"/>
  <sheetViews>
    <sheetView workbookViewId="0">
      <selection activeCell="C3" sqref="C3"/>
    </sheetView>
  </sheetViews>
  <sheetFormatPr defaultRowHeight="15" x14ac:dyDescent="0.25"/>
  <cols>
    <col min="1" max="1" width="15.140625" bestFit="1" customWidth="1"/>
    <col min="2" max="6" width="11.42578125" bestFit="1" customWidth="1"/>
    <col min="7" max="19" width="12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8</v>
      </c>
      <c r="G1" t="s">
        <v>10</v>
      </c>
      <c r="H1" t="s">
        <v>11</v>
      </c>
      <c r="I1" t="s">
        <v>13</v>
      </c>
      <c r="J1" t="s">
        <v>14</v>
      </c>
      <c r="K1" t="s">
        <v>16</v>
      </c>
      <c r="L1" t="s">
        <v>17</v>
      </c>
      <c r="M1" t="s">
        <v>19</v>
      </c>
      <c r="N1" t="s">
        <v>21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25">
      <c r="A2" t="s">
        <v>30</v>
      </c>
      <c r="B2" t="s">
        <v>30</v>
      </c>
      <c r="C2" t="s">
        <v>30</v>
      </c>
      <c r="D2" s="2" t="s">
        <v>402</v>
      </c>
      <c r="E2" s="2" t="s">
        <v>402</v>
      </c>
      <c r="F2" s="2" t="s">
        <v>402</v>
      </c>
      <c r="G2" s="2" t="s">
        <v>403</v>
      </c>
      <c r="H2" s="2" t="s">
        <v>403</v>
      </c>
      <c r="I2" s="2" t="s">
        <v>404</v>
      </c>
      <c r="J2" s="2" t="s">
        <v>404</v>
      </c>
      <c r="K2" s="2" t="s">
        <v>405</v>
      </c>
      <c r="L2" s="2" t="s">
        <v>405</v>
      </c>
      <c r="M2" s="2" t="s">
        <v>30</v>
      </c>
      <c r="N2" s="14" t="s">
        <v>33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</row>
    <row r="3" spans="1:19" x14ac:dyDescent="0.25">
      <c r="A3" t="s">
        <v>36</v>
      </c>
      <c r="B3" t="s">
        <v>37</v>
      </c>
      <c r="C3" t="s">
        <v>38</v>
      </c>
      <c r="D3" t="s">
        <v>979</v>
      </c>
      <c r="E3" t="s">
        <v>980</v>
      </c>
      <c r="F3" t="s">
        <v>981</v>
      </c>
      <c r="G3" t="s">
        <v>979</v>
      </c>
      <c r="H3" t="s">
        <v>980</v>
      </c>
      <c r="I3" t="s">
        <v>979</v>
      </c>
      <c r="J3" t="s">
        <v>980</v>
      </c>
      <c r="K3" t="s">
        <v>979</v>
      </c>
      <c r="L3" t="s">
        <v>980</v>
      </c>
      <c r="M3" t="s">
        <v>982</v>
      </c>
      <c r="N3" s="7" t="s">
        <v>409</v>
      </c>
      <c r="O3" t="s">
        <v>983</v>
      </c>
      <c r="P3" t="s">
        <v>984</v>
      </c>
      <c r="Q3" t="s">
        <v>986</v>
      </c>
      <c r="R3" t="s">
        <v>985</v>
      </c>
      <c r="S3" t="s">
        <v>987</v>
      </c>
    </row>
    <row r="4" spans="1:19" x14ac:dyDescent="0.25">
      <c r="A4" t="s">
        <v>242</v>
      </c>
      <c r="B4" t="s">
        <v>912</v>
      </c>
      <c r="C4" t="s">
        <v>123</v>
      </c>
      <c r="D4">
        <v>3365</v>
      </c>
      <c r="E4">
        <v>3656</v>
      </c>
      <c r="F4">
        <v>57256</v>
      </c>
      <c r="G4">
        <v>1676</v>
      </c>
      <c r="H4">
        <v>1774</v>
      </c>
      <c r="I4">
        <v>1273</v>
      </c>
      <c r="J4">
        <v>1360</v>
      </c>
      <c r="K4">
        <v>340</v>
      </c>
      <c r="L4">
        <v>401</v>
      </c>
      <c r="M4">
        <v>9</v>
      </c>
      <c r="N4" t="s">
        <v>487</v>
      </c>
      <c r="O4">
        <v>49</v>
      </c>
      <c r="P4">
        <v>378</v>
      </c>
      <c r="Q4">
        <v>61</v>
      </c>
      <c r="R4">
        <v>0</v>
      </c>
      <c r="S4">
        <v>376</v>
      </c>
    </row>
    <row r="5" spans="1:19" x14ac:dyDescent="0.25">
      <c r="A5" t="s">
        <v>142</v>
      </c>
      <c r="B5" t="s">
        <v>906</v>
      </c>
      <c r="C5" t="s">
        <v>170</v>
      </c>
      <c r="D5">
        <v>1511</v>
      </c>
      <c r="E5">
        <v>1767</v>
      </c>
      <c r="F5">
        <v>20347</v>
      </c>
      <c r="G5">
        <v>990</v>
      </c>
      <c r="H5">
        <v>1053</v>
      </c>
      <c r="I5">
        <v>388</v>
      </c>
      <c r="J5">
        <v>449</v>
      </c>
      <c r="K5">
        <v>68</v>
      </c>
      <c r="L5">
        <v>135</v>
      </c>
      <c r="M5">
        <v>8</v>
      </c>
      <c r="N5" t="s">
        <v>103</v>
      </c>
      <c r="O5">
        <v>73</v>
      </c>
      <c r="P5">
        <v>71</v>
      </c>
      <c r="Q5">
        <v>57</v>
      </c>
      <c r="R5">
        <v>5</v>
      </c>
      <c r="S5">
        <v>168</v>
      </c>
    </row>
    <row r="6" spans="1:19" x14ac:dyDescent="0.25">
      <c r="A6" t="s">
        <v>154</v>
      </c>
      <c r="B6" t="s">
        <v>907</v>
      </c>
      <c r="C6" t="s">
        <v>156</v>
      </c>
      <c r="D6">
        <v>1077</v>
      </c>
      <c r="E6">
        <v>1234</v>
      </c>
      <c r="F6">
        <v>25898</v>
      </c>
      <c r="G6">
        <v>275</v>
      </c>
      <c r="H6">
        <v>276</v>
      </c>
      <c r="I6">
        <v>560</v>
      </c>
      <c r="J6">
        <v>570</v>
      </c>
      <c r="K6">
        <v>239</v>
      </c>
      <c r="L6">
        <v>381</v>
      </c>
      <c r="M6">
        <v>0</v>
      </c>
      <c r="N6" t="s">
        <v>206</v>
      </c>
      <c r="O6">
        <v>1</v>
      </c>
      <c r="P6">
        <v>25</v>
      </c>
      <c r="Q6">
        <v>1</v>
      </c>
      <c r="R6">
        <v>0</v>
      </c>
      <c r="S6">
        <v>4</v>
      </c>
    </row>
    <row r="7" spans="1:19" x14ac:dyDescent="0.25">
      <c r="A7" t="s">
        <v>313</v>
      </c>
      <c r="B7" t="s">
        <v>925</v>
      </c>
      <c r="C7" t="s">
        <v>97</v>
      </c>
      <c r="D7">
        <v>1011</v>
      </c>
      <c r="E7">
        <v>1258</v>
      </c>
      <c r="F7">
        <v>13977</v>
      </c>
      <c r="G7">
        <v>615</v>
      </c>
      <c r="H7">
        <v>679</v>
      </c>
      <c r="I7">
        <v>272</v>
      </c>
      <c r="J7">
        <v>328</v>
      </c>
      <c r="K7">
        <v>58</v>
      </c>
      <c r="L7">
        <v>145</v>
      </c>
      <c r="M7">
        <v>8</v>
      </c>
      <c r="N7" t="s">
        <v>495</v>
      </c>
      <c r="O7">
        <v>67</v>
      </c>
      <c r="P7">
        <v>43</v>
      </c>
      <c r="Q7">
        <v>41</v>
      </c>
      <c r="R7">
        <v>4</v>
      </c>
      <c r="S7">
        <v>103</v>
      </c>
    </row>
    <row r="8" spans="1:19" x14ac:dyDescent="0.25">
      <c r="A8" t="s">
        <v>204</v>
      </c>
      <c r="B8" t="s">
        <v>906</v>
      </c>
      <c r="C8" t="s">
        <v>77</v>
      </c>
      <c r="D8">
        <v>2128</v>
      </c>
      <c r="E8">
        <v>2404</v>
      </c>
      <c r="F8">
        <v>36091</v>
      </c>
      <c r="G8">
        <v>992</v>
      </c>
      <c r="H8">
        <v>1057</v>
      </c>
      <c r="I8">
        <v>932</v>
      </c>
      <c r="J8">
        <v>1020</v>
      </c>
      <c r="K8">
        <v>166</v>
      </c>
      <c r="L8">
        <v>246</v>
      </c>
      <c r="M8">
        <v>4</v>
      </c>
      <c r="N8" t="s">
        <v>499</v>
      </c>
      <c r="O8">
        <v>25</v>
      </c>
      <c r="P8">
        <v>199</v>
      </c>
      <c r="Q8">
        <v>32</v>
      </c>
      <c r="R8">
        <v>13</v>
      </c>
      <c r="S8">
        <v>157</v>
      </c>
    </row>
    <row r="9" spans="1:19" x14ac:dyDescent="0.25">
      <c r="A9" t="s">
        <v>95</v>
      </c>
      <c r="B9" t="s">
        <v>904</v>
      </c>
      <c r="C9" t="s">
        <v>97</v>
      </c>
      <c r="D9">
        <v>1671</v>
      </c>
      <c r="E9">
        <v>1936</v>
      </c>
      <c r="F9">
        <v>25138</v>
      </c>
      <c r="G9">
        <v>993</v>
      </c>
      <c r="H9">
        <v>1052</v>
      </c>
      <c r="I9">
        <v>534</v>
      </c>
      <c r="J9">
        <v>620</v>
      </c>
      <c r="K9">
        <v>106</v>
      </c>
      <c r="L9">
        <v>158</v>
      </c>
      <c r="M9">
        <v>9</v>
      </c>
      <c r="N9" t="s">
        <v>297</v>
      </c>
      <c r="O9">
        <v>64</v>
      </c>
      <c r="P9">
        <v>100</v>
      </c>
      <c r="Q9">
        <v>49</v>
      </c>
      <c r="R9">
        <v>10</v>
      </c>
      <c r="S9">
        <v>177</v>
      </c>
    </row>
    <row r="10" spans="1:19" x14ac:dyDescent="0.25">
      <c r="A10" t="s">
        <v>50</v>
      </c>
      <c r="B10" t="s">
        <v>902</v>
      </c>
      <c r="C10" t="s">
        <v>52</v>
      </c>
      <c r="D10">
        <v>295</v>
      </c>
      <c r="E10">
        <v>388</v>
      </c>
      <c r="F10">
        <v>3234</v>
      </c>
      <c r="G10">
        <v>197</v>
      </c>
      <c r="H10">
        <v>242</v>
      </c>
      <c r="I10">
        <v>56</v>
      </c>
      <c r="J10">
        <v>70</v>
      </c>
      <c r="K10">
        <v>5</v>
      </c>
      <c r="L10">
        <v>8</v>
      </c>
      <c r="M10">
        <v>5</v>
      </c>
      <c r="N10" t="s">
        <v>417</v>
      </c>
      <c r="O10">
        <v>29</v>
      </c>
      <c r="P10">
        <v>16</v>
      </c>
      <c r="Q10">
        <v>11</v>
      </c>
      <c r="R10">
        <v>0</v>
      </c>
      <c r="S10">
        <v>26</v>
      </c>
    </row>
    <row r="11" spans="1:19" x14ac:dyDescent="0.25">
      <c r="A11" t="s">
        <v>179</v>
      </c>
      <c r="B11" t="s">
        <v>904</v>
      </c>
      <c r="C11" t="s">
        <v>77</v>
      </c>
      <c r="D11">
        <v>2469</v>
      </c>
      <c r="E11">
        <v>2635</v>
      </c>
      <c r="F11">
        <v>42764</v>
      </c>
      <c r="G11">
        <v>1039</v>
      </c>
      <c r="H11">
        <v>1076</v>
      </c>
      <c r="I11">
        <v>1256</v>
      </c>
      <c r="J11">
        <v>1306</v>
      </c>
      <c r="K11">
        <v>146</v>
      </c>
      <c r="L11">
        <v>204</v>
      </c>
      <c r="M11">
        <v>0</v>
      </c>
      <c r="N11" t="s">
        <v>165</v>
      </c>
      <c r="O11">
        <v>7</v>
      </c>
      <c r="P11">
        <v>220</v>
      </c>
      <c r="Q11">
        <v>12</v>
      </c>
      <c r="R11">
        <v>3</v>
      </c>
      <c r="S11">
        <v>173</v>
      </c>
    </row>
    <row r="12" spans="1:19" x14ac:dyDescent="0.25">
      <c r="A12" t="s">
        <v>110</v>
      </c>
      <c r="B12" t="s">
        <v>905</v>
      </c>
      <c r="C12" t="s">
        <v>135</v>
      </c>
      <c r="D12">
        <v>2180</v>
      </c>
      <c r="E12">
        <v>2334</v>
      </c>
      <c r="F12">
        <v>35688</v>
      </c>
      <c r="G12">
        <v>1091</v>
      </c>
      <c r="H12">
        <v>1136</v>
      </c>
      <c r="I12">
        <v>923</v>
      </c>
      <c r="J12">
        <v>975</v>
      </c>
      <c r="K12">
        <v>126</v>
      </c>
      <c r="L12">
        <v>163</v>
      </c>
      <c r="M12">
        <v>0</v>
      </c>
      <c r="N12" t="s">
        <v>365</v>
      </c>
      <c r="O12">
        <v>13</v>
      </c>
      <c r="P12">
        <v>214</v>
      </c>
      <c r="Q12">
        <v>15</v>
      </c>
      <c r="R12">
        <v>2</v>
      </c>
      <c r="S12">
        <v>148</v>
      </c>
    </row>
    <row r="13" spans="1:19" x14ac:dyDescent="0.25">
      <c r="A13" t="s">
        <v>75</v>
      </c>
      <c r="B13" t="s">
        <v>903</v>
      </c>
      <c r="C13" t="s">
        <v>77</v>
      </c>
      <c r="D13">
        <v>1671</v>
      </c>
      <c r="E13">
        <v>1919</v>
      </c>
      <c r="F13">
        <v>25207</v>
      </c>
      <c r="G13">
        <v>931</v>
      </c>
      <c r="H13">
        <v>1010</v>
      </c>
      <c r="I13">
        <v>618</v>
      </c>
      <c r="J13">
        <v>695</v>
      </c>
      <c r="K13">
        <v>77</v>
      </c>
      <c r="L13">
        <v>107</v>
      </c>
      <c r="M13">
        <v>1</v>
      </c>
      <c r="N13" t="s">
        <v>63</v>
      </c>
      <c r="O13">
        <v>18</v>
      </c>
      <c r="P13">
        <v>141</v>
      </c>
      <c r="Q13">
        <v>16</v>
      </c>
      <c r="R13">
        <v>3</v>
      </c>
      <c r="S13">
        <v>136</v>
      </c>
    </row>
    <row r="14" spans="1:19" x14ac:dyDescent="0.25">
      <c r="A14" t="s">
        <v>221</v>
      </c>
      <c r="B14" t="s">
        <v>910</v>
      </c>
      <c r="C14" t="s">
        <v>77</v>
      </c>
      <c r="D14">
        <v>1716</v>
      </c>
      <c r="E14">
        <v>1864</v>
      </c>
      <c r="F14">
        <v>26189</v>
      </c>
      <c r="G14">
        <v>882</v>
      </c>
      <c r="H14">
        <v>921</v>
      </c>
      <c r="I14">
        <v>750</v>
      </c>
      <c r="J14">
        <v>796</v>
      </c>
      <c r="K14">
        <v>43</v>
      </c>
      <c r="L14">
        <v>85</v>
      </c>
      <c r="M14">
        <v>2</v>
      </c>
      <c r="N14" t="s">
        <v>117</v>
      </c>
      <c r="O14">
        <v>10</v>
      </c>
      <c r="P14">
        <v>148</v>
      </c>
      <c r="Q14">
        <v>5</v>
      </c>
      <c r="R14">
        <v>1</v>
      </c>
      <c r="S14">
        <v>116</v>
      </c>
    </row>
    <row r="15" spans="1:19" x14ac:dyDescent="0.25">
      <c r="A15" t="s">
        <v>213</v>
      </c>
      <c r="B15" t="s">
        <v>909</v>
      </c>
      <c r="C15" t="s">
        <v>170</v>
      </c>
      <c r="D15">
        <v>693</v>
      </c>
      <c r="E15">
        <v>852</v>
      </c>
      <c r="F15">
        <v>9699</v>
      </c>
      <c r="G15">
        <v>452</v>
      </c>
      <c r="H15">
        <v>507</v>
      </c>
      <c r="I15">
        <v>198</v>
      </c>
      <c r="J15">
        <v>254</v>
      </c>
      <c r="K15">
        <v>26</v>
      </c>
      <c r="L15">
        <v>33</v>
      </c>
      <c r="M15">
        <v>8</v>
      </c>
      <c r="N15" t="s">
        <v>510</v>
      </c>
      <c r="O15">
        <v>45</v>
      </c>
      <c r="P15">
        <v>14</v>
      </c>
      <c r="Q15">
        <v>40</v>
      </c>
      <c r="R15">
        <v>7</v>
      </c>
      <c r="S15">
        <v>57</v>
      </c>
    </row>
    <row r="16" spans="1:19" x14ac:dyDescent="0.25">
      <c r="A16" t="s">
        <v>122</v>
      </c>
      <c r="B16" t="s">
        <v>903</v>
      </c>
      <c r="C16" t="s">
        <v>123</v>
      </c>
      <c r="D16">
        <v>1435</v>
      </c>
      <c r="E16">
        <v>1527</v>
      </c>
      <c r="F16">
        <v>20506</v>
      </c>
      <c r="G16">
        <v>835</v>
      </c>
      <c r="H16">
        <v>862</v>
      </c>
      <c r="I16">
        <v>514</v>
      </c>
      <c r="J16">
        <v>544</v>
      </c>
      <c r="K16">
        <v>41</v>
      </c>
      <c r="L16">
        <v>57</v>
      </c>
      <c r="M16">
        <v>0</v>
      </c>
      <c r="N16" t="s">
        <v>165</v>
      </c>
      <c r="O16">
        <v>21</v>
      </c>
      <c r="P16">
        <v>120</v>
      </c>
      <c r="Q16">
        <v>15</v>
      </c>
      <c r="R16">
        <v>0</v>
      </c>
      <c r="S16">
        <v>100</v>
      </c>
    </row>
    <row r="17" spans="1:19" x14ac:dyDescent="0.25">
      <c r="A17" t="s">
        <v>183</v>
      </c>
      <c r="B17" t="s">
        <v>909</v>
      </c>
      <c r="C17" t="s">
        <v>123</v>
      </c>
      <c r="D17">
        <v>732</v>
      </c>
      <c r="E17">
        <v>971</v>
      </c>
      <c r="F17">
        <v>11555</v>
      </c>
      <c r="G17">
        <v>426</v>
      </c>
      <c r="H17">
        <v>481</v>
      </c>
      <c r="I17">
        <v>223</v>
      </c>
      <c r="J17">
        <v>293</v>
      </c>
      <c r="K17">
        <v>66</v>
      </c>
      <c r="L17">
        <v>134</v>
      </c>
      <c r="M17">
        <v>10</v>
      </c>
      <c r="N17" t="s">
        <v>352</v>
      </c>
      <c r="O17">
        <v>59</v>
      </c>
      <c r="P17">
        <v>67</v>
      </c>
      <c r="Q17">
        <v>56</v>
      </c>
      <c r="R17">
        <v>12</v>
      </c>
      <c r="S17">
        <v>111</v>
      </c>
    </row>
    <row r="18" spans="1:19" x14ac:dyDescent="0.25">
      <c r="A18" t="s">
        <v>235</v>
      </c>
      <c r="B18" t="s">
        <v>906</v>
      </c>
      <c r="C18" t="s">
        <v>135</v>
      </c>
      <c r="D18">
        <v>781</v>
      </c>
      <c r="E18">
        <v>839</v>
      </c>
      <c r="F18">
        <v>12375</v>
      </c>
      <c r="G18">
        <v>402</v>
      </c>
      <c r="H18">
        <v>426</v>
      </c>
      <c r="I18">
        <v>322</v>
      </c>
      <c r="J18">
        <v>335</v>
      </c>
      <c r="K18">
        <v>41</v>
      </c>
      <c r="L18">
        <v>54</v>
      </c>
      <c r="M18">
        <v>0</v>
      </c>
      <c r="N18" t="s">
        <v>116</v>
      </c>
      <c r="O18">
        <v>6</v>
      </c>
      <c r="P18">
        <v>53</v>
      </c>
      <c r="Q18">
        <v>1</v>
      </c>
      <c r="R18">
        <v>0</v>
      </c>
      <c r="S18">
        <v>57</v>
      </c>
    </row>
    <row r="19" spans="1:19" x14ac:dyDescent="0.25">
      <c r="A19" t="s">
        <v>226</v>
      </c>
      <c r="B19" t="s">
        <v>906</v>
      </c>
      <c r="C19" t="s">
        <v>170</v>
      </c>
      <c r="D19">
        <v>499</v>
      </c>
      <c r="E19">
        <v>580</v>
      </c>
      <c r="F19">
        <v>7032</v>
      </c>
      <c r="G19">
        <v>302</v>
      </c>
      <c r="H19">
        <v>329</v>
      </c>
      <c r="I19">
        <v>156</v>
      </c>
      <c r="J19">
        <v>174</v>
      </c>
      <c r="K19">
        <v>23</v>
      </c>
      <c r="L19">
        <v>32</v>
      </c>
      <c r="M19">
        <v>1</v>
      </c>
      <c r="N19" t="s">
        <v>515</v>
      </c>
      <c r="O19">
        <v>26</v>
      </c>
      <c r="P19">
        <v>15</v>
      </c>
      <c r="Q19">
        <v>25</v>
      </c>
      <c r="R19">
        <v>0</v>
      </c>
      <c r="S19">
        <v>50</v>
      </c>
    </row>
    <row r="20" spans="1:19" x14ac:dyDescent="0.25">
      <c r="A20" t="s">
        <v>133</v>
      </c>
      <c r="B20" t="s">
        <v>906</v>
      </c>
      <c r="C20" t="s">
        <v>135</v>
      </c>
      <c r="D20">
        <v>518</v>
      </c>
      <c r="E20">
        <v>568</v>
      </c>
      <c r="F20">
        <v>7100</v>
      </c>
      <c r="G20">
        <v>339</v>
      </c>
      <c r="H20">
        <v>351</v>
      </c>
      <c r="I20">
        <v>159</v>
      </c>
      <c r="J20">
        <v>170</v>
      </c>
      <c r="K20">
        <v>12</v>
      </c>
      <c r="L20">
        <v>20</v>
      </c>
      <c r="M20">
        <v>0</v>
      </c>
      <c r="N20" t="s">
        <v>137</v>
      </c>
      <c r="O20">
        <v>13</v>
      </c>
      <c r="P20">
        <v>29</v>
      </c>
      <c r="Q20">
        <v>9</v>
      </c>
      <c r="R20">
        <v>0</v>
      </c>
      <c r="S20">
        <v>33</v>
      </c>
    </row>
    <row r="21" spans="1:19" x14ac:dyDescent="0.25">
      <c r="A21" t="s">
        <v>196</v>
      </c>
      <c r="B21" t="s">
        <v>904</v>
      </c>
      <c r="C21" t="s">
        <v>123</v>
      </c>
      <c r="D21">
        <v>373</v>
      </c>
      <c r="E21">
        <v>443</v>
      </c>
      <c r="F21">
        <v>5054</v>
      </c>
      <c r="G21">
        <v>233</v>
      </c>
      <c r="H21">
        <v>255</v>
      </c>
      <c r="I21">
        <v>115</v>
      </c>
      <c r="J21">
        <v>133</v>
      </c>
      <c r="K21">
        <v>11</v>
      </c>
      <c r="L21">
        <v>23</v>
      </c>
      <c r="M21">
        <v>2</v>
      </c>
      <c r="N21" t="s">
        <v>84</v>
      </c>
      <c r="O21">
        <v>9</v>
      </c>
      <c r="P21">
        <v>23</v>
      </c>
      <c r="Q21">
        <v>16</v>
      </c>
      <c r="R21">
        <v>2</v>
      </c>
      <c r="S21">
        <v>34</v>
      </c>
    </row>
    <row r="22" spans="1:19" x14ac:dyDescent="0.25">
      <c r="A22" t="s">
        <v>211</v>
      </c>
      <c r="B22" t="s">
        <v>908</v>
      </c>
      <c r="C22" t="s">
        <v>156</v>
      </c>
      <c r="D22">
        <v>213</v>
      </c>
      <c r="E22">
        <v>266</v>
      </c>
      <c r="F22">
        <v>4942</v>
      </c>
      <c r="G22">
        <v>58</v>
      </c>
      <c r="H22">
        <v>58</v>
      </c>
      <c r="I22">
        <v>108</v>
      </c>
      <c r="J22">
        <v>110</v>
      </c>
      <c r="K22">
        <v>46</v>
      </c>
      <c r="L22">
        <v>96</v>
      </c>
      <c r="M22">
        <v>0</v>
      </c>
      <c r="N22" t="s">
        <v>158</v>
      </c>
      <c r="O22">
        <v>0</v>
      </c>
      <c r="P22">
        <v>2</v>
      </c>
      <c r="Q22">
        <v>0</v>
      </c>
      <c r="R22">
        <v>0</v>
      </c>
      <c r="S22">
        <v>0</v>
      </c>
    </row>
    <row r="23" spans="1:19" x14ac:dyDescent="0.25">
      <c r="A23" t="s">
        <v>368</v>
      </c>
      <c r="B23" t="s">
        <v>902</v>
      </c>
      <c r="C23" t="s">
        <v>170</v>
      </c>
      <c r="D23">
        <v>155</v>
      </c>
      <c r="E23">
        <v>177</v>
      </c>
      <c r="F23">
        <v>2056</v>
      </c>
      <c r="G23">
        <v>101</v>
      </c>
      <c r="H23">
        <v>107</v>
      </c>
      <c r="I23">
        <v>44</v>
      </c>
      <c r="J23">
        <v>51</v>
      </c>
      <c r="K23">
        <v>4</v>
      </c>
      <c r="L23">
        <v>4</v>
      </c>
      <c r="M23">
        <v>1</v>
      </c>
      <c r="N23" t="s">
        <v>182</v>
      </c>
      <c r="O23">
        <v>9</v>
      </c>
      <c r="P23">
        <v>3</v>
      </c>
      <c r="Q23">
        <v>19</v>
      </c>
      <c r="R23">
        <v>1</v>
      </c>
      <c r="S23">
        <v>25</v>
      </c>
    </row>
    <row r="24" spans="1:19" x14ac:dyDescent="0.25">
      <c r="A24" t="s">
        <v>370</v>
      </c>
      <c r="B24" t="s">
        <v>906</v>
      </c>
      <c r="C24" t="s">
        <v>123</v>
      </c>
      <c r="D24">
        <v>62</v>
      </c>
      <c r="E24">
        <v>70</v>
      </c>
      <c r="F24">
        <v>1067</v>
      </c>
      <c r="G24">
        <v>31</v>
      </c>
      <c r="H24">
        <v>32</v>
      </c>
      <c r="I24">
        <v>24</v>
      </c>
      <c r="J24">
        <v>26</v>
      </c>
      <c r="K24">
        <v>7</v>
      </c>
      <c r="L24">
        <v>10</v>
      </c>
      <c r="M24">
        <v>0</v>
      </c>
      <c r="N24" t="s">
        <v>206</v>
      </c>
      <c r="O24">
        <v>0</v>
      </c>
      <c r="P24">
        <v>8</v>
      </c>
      <c r="Q24">
        <v>1</v>
      </c>
      <c r="R24">
        <v>1</v>
      </c>
      <c r="S24">
        <v>7</v>
      </c>
    </row>
    <row r="25" spans="1:19" x14ac:dyDescent="0.25">
      <c r="A25" t="s">
        <v>371</v>
      </c>
      <c r="B25" t="s">
        <v>912</v>
      </c>
      <c r="C25" t="s">
        <v>170</v>
      </c>
      <c r="D25">
        <v>46</v>
      </c>
      <c r="E25">
        <v>54</v>
      </c>
      <c r="F25">
        <v>636</v>
      </c>
      <c r="G25">
        <v>29</v>
      </c>
      <c r="H25">
        <v>31</v>
      </c>
      <c r="I25">
        <v>15</v>
      </c>
      <c r="J25">
        <v>17</v>
      </c>
      <c r="K25">
        <v>1</v>
      </c>
      <c r="L25">
        <v>2</v>
      </c>
      <c r="M25">
        <v>1</v>
      </c>
      <c r="N25" t="s">
        <v>225</v>
      </c>
      <c r="O25">
        <v>1</v>
      </c>
      <c r="P25">
        <v>1</v>
      </c>
      <c r="Q25">
        <v>2</v>
      </c>
      <c r="R25">
        <v>1</v>
      </c>
      <c r="S25">
        <v>2</v>
      </c>
    </row>
    <row r="26" spans="1:19" x14ac:dyDescent="0.25">
      <c r="A26" t="s">
        <v>373</v>
      </c>
      <c r="B26" t="s">
        <v>912</v>
      </c>
      <c r="C26" t="s">
        <v>77</v>
      </c>
      <c r="D26">
        <v>11</v>
      </c>
      <c r="E26">
        <v>11</v>
      </c>
      <c r="F26">
        <v>202</v>
      </c>
      <c r="G26">
        <v>4</v>
      </c>
      <c r="H26">
        <v>4</v>
      </c>
      <c r="I26">
        <v>7</v>
      </c>
      <c r="J26">
        <v>7</v>
      </c>
      <c r="K26">
        <v>0</v>
      </c>
      <c r="L26">
        <v>0</v>
      </c>
      <c r="M26">
        <v>0</v>
      </c>
      <c r="N26" t="s">
        <v>158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t="s">
        <v>374</v>
      </c>
      <c r="B27" t="s">
        <v>906</v>
      </c>
      <c r="C27" t="s">
        <v>123</v>
      </c>
      <c r="D27">
        <v>4</v>
      </c>
      <c r="E27">
        <v>5</v>
      </c>
      <c r="F27">
        <v>51</v>
      </c>
      <c r="G27">
        <v>2</v>
      </c>
      <c r="H27">
        <v>2</v>
      </c>
      <c r="I27">
        <v>2</v>
      </c>
      <c r="J27">
        <v>3</v>
      </c>
      <c r="K27">
        <v>0</v>
      </c>
      <c r="L27">
        <v>0</v>
      </c>
      <c r="M27">
        <v>0</v>
      </c>
      <c r="N27" t="s">
        <v>158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248</v>
      </c>
      <c r="B28" t="s">
        <v>906</v>
      </c>
      <c r="C28" t="s">
        <v>123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158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261</v>
      </c>
      <c r="B29" t="s">
        <v>30</v>
      </c>
      <c r="C29" t="s">
        <v>30</v>
      </c>
      <c r="D29">
        <v>24616</v>
      </c>
      <c r="E29">
        <v>27758</v>
      </c>
      <c r="F29">
        <v>394064</v>
      </c>
      <c r="G29">
        <v>12895</v>
      </c>
      <c r="H29">
        <v>13721</v>
      </c>
      <c r="I29">
        <v>9449</v>
      </c>
      <c r="J29">
        <v>10306</v>
      </c>
      <c r="K29">
        <v>1652</v>
      </c>
      <c r="L29">
        <v>2498</v>
      </c>
      <c r="M29">
        <v>69</v>
      </c>
      <c r="N29" t="s">
        <v>433</v>
      </c>
      <c r="O29">
        <v>545</v>
      </c>
      <c r="P29">
        <v>1890</v>
      </c>
      <c r="Q29">
        <v>484</v>
      </c>
      <c r="R29">
        <v>65</v>
      </c>
      <c r="S29">
        <v>2060</v>
      </c>
    </row>
    <row r="30" spans="1:19" x14ac:dyDescent="0.25">
      <c r="A30" t="s">
        <v>280</v>
      </c>
      <c r="B30" t="s">
        <v>30</v>
      </c>
      <c r="C30" t="s">
        <v>30</v>
      </c>
      <c r="D30">
        <v>11864</v>
      </c>
      <c r="E30">
        <v>14869</v>
      </c>
      <c r="F30">
        <v>207411</v>
      </c>
      <c r="G30">
        <v>5451</v>
      </c>
      <c r="H30">
        <v>6120</v>
      </c>
      <c r="I30">
        <v>4945</v>
      </c>
      <c r="J30">
        <v>5662</v>
      </c>
      <c r="K30">
        <v>1151</v>
      </c>
      <c r="L30">
        <v>2216</v>
      </c>
      <c r="M30">
        <v>23</v>
      </c>
      <c r="N30" t="s">
        <v>526</v>
      </c>
      <c r="O30">
        <v>220</v>
      </c>
      <c r="P30">
        <v>672</v>
      </c>
      <c r="Q30">
        <v>181</v>
      </c>
      <c r="R30">
        <v>42</v>
      </c>
      <c r="S30">
        <v>824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59D7-FF18-4D7E-8EF3-FAEC6E777A43}">
  <dimension ref="A1:O30"/>
  <sheetViews>
    <sheetView workbookViewId="0">
      <selection activeCell="I4" sqref="I4"/>
    </sheetView>
  </sheetViews>
  <sheetFormatPr defaultRowHeight="15" x14ac:dyDescent="0.25"/>
  <cols>
    <col min="1" max="1" width="21.85546875" bestFit="1" customWidth="1"/>
    <col min="2" max="2" width="12.85546875" bestFit="1" customWidth="1"/>
    <col min="3" max="3" width="14.140625" bestFit="1" customWidth="1"/>
    <col min="4" max="4" width="17.85546875" bestFit="1" customWidth="1"/>
    <col min="5" max="5" width="23.85546875" style="7" bestFit="1" customWidth="1"/>
    <col min="6" max="6" width="22.85546875" style="7" bestFit="1" customWidth="1"/>
    <col min="7" max="7" width="24.42578125" style="22" bestFit="1" customWidth="1"/>
    <col min="8" max="8" width="10.140625" bestFit="1" customWidth="1"/>
    <col min="10" max="10" width="36.7109375" customWidth="1"/>
    <col min="11" max="11" width="18.140625" customWidth="1"/>
    <col min="14" max="14" width="11.42578125" customWidth="1"/>
    <col min="15" max="15" width="9.140625" style="7"/>
  </cols>
  <sheetData>
    <row r="1" spans="1:15" x14ac:dyDescent="0.25">
      <c r="A1" s="9" t="s">
        <v>38</v>
      </c>
      <c r="B1" t="s">
        <v>928</v>
      </c>
    </row>
    <row r="2" spans="1:15" x14ac:dyDescent="0.25">
      <c r="J2" t="s">
        <v>943</v>
      </c>
      <c r="K2">
        <v>24</v>
      </c>
    </row>
    <row r="3" spans="1:15" x14ac:dyDescent="0.25">
      <c r="A3" s="9" t="s">
        <v>926</v>
      </c>
      <c r="B3" t="s">
        <v>932</v>
      </c>
      <c r="C3" t="s">
        <v>1023</v>
      </c>
      <c r="D3" t="s">
        <v>1024</v>
      </c>
      <c r="E3" s="7" t="s">
        <v>1025</v>
      </c>
      <c r="F3" s="7" t="s">
        <v>1026</v>
      </c>
      <c r="G3" t="s">
        <v>1027</v>
      </c>
      <c r="J3" t="s">
        <v>1028</v>
      </c>
      <c r="K3" t="s">
        <v>937</v>
      </c>
      <c r="L3">
        <v>90</v>
      </c>
      <c r="N3" t="s">
        <v>968</v>
      </c>
      <c r="O3" s="7">
        <f>L3/K2</f>
        <v>3.75</v>
      </c>
    </row>
    <row r="4" spans="1:15" x14ac:dyDescent="0.25">
      <c r="A4" s="6" t="s">
        <v>50</v>
      </c>
      <c r="B4">
        <v>19</v>
      </c>
      <c r="C4">
        <v>90</v>
      </c>
      <c r="D4">
        <v>50</v>
      </c>
      <c r="E4" s="7">
        <v>3.75</v>
      </c>
      <c r="F4" s="7">
        <v>2.0833333333333335</v>
      </c>
      <c r="G4">
        <v>0.38</v>
      </c>
      <c r="K4" t="s">
        <v>965</v>
      </c>
      <c r="L4">
        <v>45</v>
      </c>
      <c r="N4" t="s">
        <v>968</v>
      </c>
      <c r="O4" s="7">
        <f>L4/K2</f>
        <v>1.875</v>
      </c>
    </row>
    <row r="5" spans="1:15" x14ac:dyDescent="0.25">
      <c r="A5" s="6" t="s">
        <v>169</v>
      </c>
      <c r="B5">
        <v>1</v>
      </c>
      <c r="C5">
        <v>38</v>
      </c>
      <c r="D5">
        <v>15</v>
      </c>
      <c r="E5" s="7">
        <v>1.5833333333333333</v>
      </c>
      <c r="F5" s="7">
        <v>0.625</v>
      </c>
      <c r="G5">
        <v>6.6666666666666666E-2</v>
      </c>
      <c r="L5" s="23"/>
    </row>
    <row r="6" spans="1:15" x14ac:dyDescent="0.25">
      <c r="A6" s="6" t="s">
        <v>142</v>
      </c>
      <c r="B6">
        <v>7</v>
      </c>
      <c r="C6">
        <v>45</v>
      </c>
      <c r="D6">
        <v>14</v>
      </c>
      <c r="E6" s="7">
        <v>1.875</v>
      </c>
      <c r="F6" s="7">
        <v>0.58333333333333337</v>
      </c>
      <c r="G6">
        <v>0.5</v>
      </c>
      <c r="J6" t="s">
        <v>1029</v>
      </c>
      <c r="K6" t="s">
        <v>937</v>
      </c>
      <c r="L6">
        <v>50</v>
      </c>
      <c r="N6" t="s">
        <v>968</v>
      </c>
      <c r="O6" s="7">
        <v>2.0833333333333335</v>
      </c>
    </row>
    <row r="7" spans="1:15" x14ac:dyDescent="0.25">
      <c r="A7" s="6" t="s">
        <v>75</v>
      </c>
      <c r="B7">
        <v>5</v>
      </c>
      <c r="C7">
        <v>34</v>
      </c>
      <c r="D7">
        <v>11</v>
      </c>
      <c r="E7" s="7">
        <v>1.4166666666666667</v>
      </c>
      <c r="F7" s="7">
        <v>0.45833333333333331</v>
      </c>
      <c r="G7">
        <v>0.45454545454545453</v>
      </c>
      <c r="K7" t="s">
        <v>947</v>
      </c>
      <c r="L7">
        <v>15</v>
      </c>
      <c r="N7" t="s">
        <v>968</v>
      </c>
      <c r="O7" s="7">
        <f>L7/K2</f>
        <v>0.625</v>
      </c>
    </row>
    <row r="8" spans="1:15" x14ac:dyDescent="0.25">
      <c r="A8" s="6" t="s">
        <v>95</v>
      </c>
      <c r="B8">
        <v>2</v>
      </c>
      <c r="C8">
        <v>25</v>
      </c>
      <c r="D8">
        <v>9</v>
      </c>
      <c r="E8" s="7">
        <v>1.0416666666666667</v>
      </c>
      <c r="F8" s="7">
        <v>0.375</v>
      </c>
      <c r="G8">
        <v>0.22222222222222221</v>
      </c>
      <c r="K8" t="s">
        <v>965</v>
      </c>
      <c r="L8" s="31">
        <v>14</v>
      </c>
      <c r="N8" t="s">
        <v>968</v>
      </c>
      <c r="O8" s="7">
        <f>L8/K2</f>
        <v>0.58333333333333337</v>
      </c>
    </row>
    <row r="9" spans="1:15" x14ac:dyDescent="0.25">
      <c r="A9" s="6" t="s">
        <v>122</v>
      </c>
      <c r="B9">
        <v>4</v>
      </c>
      <c r="C9">
        <v>32</v>
      </c>
      <c r="D9">
        <v>8</v>
      </c>
      <c r="E9" s="7">
        <v>1.3333333333333333</v>
      </c>
      <c r="F9" s="7">
        <v>0.33333333333333331</v>
      </c>
      <c r="G9">
        <v>0.5</v>
      </c>
      <c r="L9" s="22"/>
    </row>
    <row r="10" spans="1:15" x14ac:dyDescent="0.25">
      <c r="A10" s="6" t="s">
        <v>183</v>
      </c>
      <c r="B10">
        <v>2</v>
      </c>
      <c r="C10">
        <v>33</v>
      </c>
      <c r="D10">
        <v>8</v>
      </c>
      <c r="E10" s="7">
        <v>1.375</v>
      </c>
      <c r="F10" s="7">
        <v>0.33333333333333331</v>
      </c>
      <c r="G10">
        <v>0.25</v>
      </c>
      <c r="J10" t="s">
        <v>1030</v>
      </c>
      <c r="K10" t="s">
        <v>965</v>
      </c>
      <c r="L10" s="22">
        <v>0.5</v>
      </c>
      <c r="N10" t="s">
        <v>968</v>
      </c>
      <c r="O10" s="7">
        <v>0.58333333333333337</v>
      </c>
    </row>
    <row r="11" spans="1:15" x14ac:dyDescent="0.25">
      <c r="A11" s="6" t="s">
        <v>213</v>
      </c>
      <c r="B11">
        <v>3</v>
      </c>
      <c r="C11">
        <v>17</v>
      </c>
      <c r="D11">
        <v>6</v>
      </c>
      <c r="E11" s="7">
        <v>0.70833333333333337</v>
      </c>
      <c r="F11" s="7">
        <v>0.25</v>
      </c>
      <c r="G11">
        <v>0.5</v>
      </c>
    </row>
    <row r="12" spans="1:15" x14ac:dyDescent="0.25">
      <c r="A12" s="6" t="s">
        <v>226</v>
      </c>
      <c r="B12">
        <v>0</v>
      </c>
      <c r="C12">
        <v>13</v>
      </c>
      <c r="D12">
        <v>4</v>
      </c>
      <c r="E12" s="7">
        <v>0.54166666666666663</v>
      </c>
      <c r="F12" s="7">
        <v>0.16666666666666666</v>
      </c>
      <c r="G12">
        <v>0</v>
      </c>
      <c r="J12" t="s">
        <v>1031</v>
      </c>
      <c r="L12">
        <v>400</v>
      </c>
      <c r="N12" t="s">
        <v>968</v>
      </c>
      <c r="O12" s="7">
        <v>16.666666666666668</v>
      </c>
    </row>
    <row r="13" spans="1:15" x14ac:dyDescent="0.25">
      <c r="A13" s="6" t="s">
        <v>161</v>
      </c>
      <c r="B13">
        <v>0</v>
      </c>
      <c r="C13">
        <v>16</v>
      </c>
      <c r="D13">
        <v>4</v>
      </c>
      <c r="E13" s="7">
        <v>0.66666666666666663</v>
      </c>
      <c r="F13" s="7">
        <v>0.16666666666666666</v>
      </c>
      <c r="G13">
        <v>0</v>
      </c>
      <c r="J13" t="s">
        <v>1032</v>
      </c>
      <c r="L13">
        <v>141</v>
      </c>
      <c r="N13" t="s">
        <v>968</v>
      </c>
      <c r="O13" s="7">
        <v>5.875</v>
      </c>
    </row>
    <row r="14" spans="1:15" x14ac:dyDescent="0.25">
      <c r="A14" s="6" t="s">
        <v>179</v>
      </c>
      <c r="B14">
        <v>0</v>
      </c>
      <c r="C14">
        <v>13</v>
      </c>
      <c r="D14">
        <v>3</v>
      </c>
      <c r="E14" s="7">
        <v>0.54166666666666663</v>
      </c>
      <c r="F14" s="7">
        <v>0.125</v>
      </c>
      <c r="G14">
        <v>0</v>
      </c>
    </row>
    <row r="15" spans="1:15" x14ac:dyDescent="0.25">
      <c r="A15" s="6" t="s">
        <v>133</v>
      </c>
      <c r="B15">
        <v>1</v>
      </c>
      <c r="C15">
        <v>9</v>
      </c>
      <c r="D15">
        <v>2</v>
      </c>
      <c r="E15" s="7">
        <v>0.375</v>
      </c>
      <c r="F15" s="7">
        <v>8.3333333333333329E-2</v>
      </c>
      <c r="G15">
        <v>0.5</v>
      </c>
    </row>
    <row r="16" spans="1:15" x14ac:dyDescent="0.25">
      <c r="A16" s="6" t="s">
        <v>235</v>
      </c>
      <c r="B16">
        <v>2</v>
      </c>
      <c r="C16">
        <v>2</v>
      </c>
      <c r="D16">
        <v>2</v>
      </c>
      <c r="E16" s="7">
        <v>8.3333333333333329E-2</v>
      </c>
      <c r="F16" s="7">
        <v>8.3333333333333329E-2</v>
      </c>
      <c r="G16">
        <v>1</v>
      </c>
    </row>
    <row r="17" spans="1:7" x14ac:dyDescent="0.25">
      <c r="A17" s="6" t="s">
        <v>204</v>
      </c>
      <c r="B17">
        <v>0</v>
      </c>
      <c r="C17">
        <v>5</v>
      </c>
      <c r="D17">
        <v>2</v>
      </c>
      <c r="E17" s="7">
        <v>0.20833333333333334</v>
      </c>
      <c r="F17" s="7">
        <v>8.3333333333333329E-2</v>
      </c>
      <c r="G17">
        <v>0</v>
      </c>
    </row>
    <row r="18" spans="1:7" x14ac:dyDescent="0.25">
      <c r="A18" s="6" t="s">
        <v>248</v>
      </c>
      <c r="B18">
        <v>1</v>
      </c>
      <c r="C18">
        <v>4</v>
      </c>
      <c r="D18">
        <v>1</v>
      </c>
      <c r="E18" s="7">
        <v>0.16666666666666666</v>
      </c>
      <c r="F18" s="7">
        <v>4.1666666666666664E-2</v>
      </c>
      <c r="G18">
        <v>1</v>
      </c>
    </row>
    <row r="19" spans="1:7" x14ac:dyDescent="0.25">
      <c r="A19" s="6" t="s">
        <v>110</v>
      </c>
      <c r="B19">
        <v>0</v>
      </c>
      <c r="C19">
        <v>10</v>
      </c>
      <c r="D19">
        <v>1</v>
      </c>
      <c r="E19" s="7">
        <v>0.41666666666666669</v>
      </c>
      <c r="F19" s="7">
        <v>4.1666666666666664E-2</v>
      </c>
      <c r="G19">
        <v>0</v>
      </c>
    </row>
    <row r="20" spans="1:7" x14ac:dyDescent="0.25">
      <c r="A20" s="6" t="s">
        <v>196</v>
      </c>
      <c r="B20">
        <v>0</v>
      </c>
      <c r="C20">
        <v>5</v>
      </c>
      <c r="D20">
        <v>1</v>
      </c>
      <c r="E20" s="7">
        <v>0.20833333333333334</v>
      </c>
      <c r="F20" s="7">
        <v>4.1666666666666664E-2</v>
      </c>
      <c r="G20">
        <v>0</v>
      </c>
    </row>
    <row r="21" spans="1:7" x14ac:dyDescent="0.25">
      <c r="A21" s="6" t="s">
        <v>241</v>
      </c>
      <c r="B21">
        <v>0</v>
      </c>
      <c r="C21">
        <v>0</v>
      </c>
      <c r="D21">
        <v>0</v>
      </c>
      <c r="E21" s="7">
        <v>0</v>
      </c>
      <c r="F21" s="7">
        <v>0</v>
      </c>
      <c r="G21" t="e">
        <v>#DIV/0!</v>
      </c>
    </row>
    <row r="22" spans="1:7" x14ac:dyDescent="0.25">
      <c r="A22" s="6" t="s">
        <v>242</v>
      </c>
      <c r="B22">
        <v>0</v>
      </c>
      <c r="C22">
        <v>0</v>
      </c>
      <c r="D22">
        <v>0</v>
      </c>
      <c r="E22" s="7">
        <v>0</v>
      </c>
      <c r="F22" s="7">
        <v>0</v>
      </c>
      <c r="G22" t="e">
        <v>#DIV/0!</v>
      </c>
    </row>
    <row r="23" spans="1:7" x14ac:dyDescent="0.25">
      <c r="A23" s="6" t="s">
        <v>221</v>
      </c>
      <c r="B23">
        <v>0</v>
      </c>
      <c r="C23">
        <v>3</v>
      </c>
      <c r="D23">
        <v>0</v>
      </c>
      <c r="E23" s="7">
        <v>0.125</v>
      </c>
      <c r="F23" s="7">
        <v>0</v>
      </c>
      <c r="G23" t="e">
        <v>#DIV/0!</v>
      </c>
    </row>
    <row r="24" spans="1:7" x14ac:dyDescent="0.25">
      <c r="A24" s="6" t="s">
        <v>253</v>
      </c>
      <c r="B24">
        <v>0</v>
      </c>
      <c r="C24">
        <v>1</v>
      </c>
      <c r="D24">
        <v>0</v>
      </c>
      <c r="E24" s="7">
        <v>4.1666666666666664E-2</v>
      </c>
      <c r="F24" s="7">
        <v>0</v>
      </c>
      <c r="G24" t="e">
        <v>#DIV/0!</v>
      </c>
    </row>
    <row r="25" spans="1:7" x14ac:dyDescent="0.25">
      <c r="A25" s="6" t="s">
        <v>251</v>
      </c>
      <c r="B25">
        <v>0</v>
      </c>
      <c r="C25">
        <v>1</v>
      </c>
      <c r="D25">
        <v>0</v>
      </c>
      <c r="E25" s="7">
        <v>4.1666666666666664E-2</v>
      </c>
      <c r="F25" s="7">
        <v>0</v>
      </c>
      <c r="G25" t="e">
        <v>#DIV/0!</v>
      </c>
    </row>
    <row r="26" spans="1:7" x14ac:dyDescent="0.25">
      <c r="A26" s="6" t="s">
        <v>238</v>
      </c>
      <c r="B26">
        <v>0</v>
      </c>
      <c r="C26">
        <v>3</v>
      </c>
      <c r="D26">
        <v>0</v>
      </c>
      <c r="E26" s="7">
        <v>0.125</v>
      </c>
      <c r="F26" s="7">
        <v>0</v>
      </c>
      <c r="G26" t="e">
        <v>#DIV/0!</v>
      </c>
    </row>
    <row r="27" spans="1:7" x14ac:dyDescent="0.25">
      <c r="A27" s="6" t="s">
        <v>211</v>
      </c>
      <c r="B27">
        <v>0</v>
      </c>
      <c r="C27">
        <v>0</v>
      </c>
      <c r="D27">
        <v>0</v>
      </c>
      <c r="E27" s="7">
        <v>0</v>
      </c>
      <c r="F27" s="7">
        <v>0</v>
      </c>
      <c r="G27" t="e">
        <v>#DIV/0!</v>
      </c>
    </row>
    <row r="28" spans="1:7" x14ac:dyDescent="0.25">
      <c r="A28" s="6" t="s">
        <v>154</v>
      </c>
      <c r="B28">
        <v>0</v>
      </c>
      <c r="C28">
        <v>0</v>
      </c>
      <c r="D28">
        <v>0</v>
      </c>
      <c r="E28" s="7">
        <v>0</v>
      </c>
      <c r="F28" s="7">
        <v>0</v>
      </c>
      <c r="G28" t="e">
        <v>#DIV/0!</v>
      </c>
    </row>
    <row r="29" spans="1:7" x14ac:dyDescent="0.25">
      <c r="A29" s="6" t="s">
        <v>245</v>
      </c>
      <c r="B29">
        <v>0</v>
      </c>
      <c r="C29">
        <v>1</v>
      </c>
      <c r="D29">
        <v>0</v>
      </c>
      <c r="E29" s="7">
        <v>4.1666666666666664E-2</v>
      </c>
      <c r="F29" s="7">
        <v>0</v>
      </c>
      <c r="G29" t="e">
        <v>#DIV/0!</v>
      </c>
    </row>
    <row r="30" spans="1:7" x14ac:dyDescent="0.25">
      <c r="A30" s="6" t="s">
        <v>927</v>
      </c>
      <c r="B30">
        <v>47</v>
      </c>
      <c r="C30">
        <v>400</v>
      </c>
      <c r="D30">
        <v>141</v>
      </c>
      <c r="E30" s="7">
        <v>16.666666666666668</v>
      </c>
      <c r="F30" s="7">
        <v>5.875</v>
      </c>
      <c r="G30">
        <v>0.33333333333333331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6DBB-28D2-4C00-872D-83CF50C14117}">
  <dimension ref="A1:K31"/>
  <sheetViews>
    <sheetView workbookViewId="0">
      <selection activeCell="E30" sqref="E30"/>
    </sheetView>
  </sheetViews>
  <sheetFormatPr defaultRowHeight="15" x14ac:dyDescent="0.25"/>
  <cols>
    <col min="1" max="1" width="21.85546875" bestFit="1" customWidth="1"/>
    <col min="2" max="4" width="11.42578125" bestFit="1" customWidth="1"/>
    <col min="5" max="5" width="11.42578125" customWidth="1"/>
    <col min="6" max="6" width="11.42578125" bestFit="1" customWidth="1"/>
    <col min="7" max="7" width="12.42578125" style="7" bestFit="1" customWidth="1"/>
    <col min="8" max="12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s="7" t="s">
        <v>12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25">
      <c r="A2" t="s">
        <v>30</v>
      </c>
      <c r="B2" t="s">
        <v>30</v>
      </c>
      <c r="C2" t="s">
        <v>30</v>
      </c>
    </row>
    <row r="3" spans="1:11" x14ac:dyDescent="0.25">
      <c r="A3" t="s">
        <v>36</v>
      </c>
      <c r="B3" t="s">
        <v>37</v>
      </c>
      <c r="C3" t="s">
        <v>38</v>
      </c>
      <c r="D3" t="s">
        <v>563</v>
      </c>
      <c r="E3" t="s">
        <v>1020</v>
      </c>
      <c r="F3" t="s">
        <v>1021</v>
      </c>
      <c r="G3" s="7" t="s">
        <v>528</v>
      </c>
      <c r="H3" t="s">
        <v>529</v>
      </c>
      <c r="I3" t="s">
        <v>44</v>
      </c>
      <c r="J3" t="s">
        <v>1022</v>
      </c>
      <c r="K3" t="s">
        <v>45</v>
      </c>
    </row>
    <row r="4" spans="1:11" x14ac:dyDescent="0.25">
      <c r="A4" t="s">
        <v>50</v>
      </c>
      <c r="B4" t="s">
        <v>902</v>
      </c>
      <c r="C4" t="s">
        <v>52</v>
      </c>
      <c r="D4">
        <v>19</v>
      </c>
      <c r="E4">
        <v>90</v>
      </c>
      <c r="F4">
        <v>50</v>
      </c>
      <c r="G4" s="8" t="s">
        <v>234</v>
      </c>
      <c r="H4">
        <v>1</v>
      </c>
      <c r="I4">
        <v>1</v>
      </c>
      <c r="J4">
        <v>2</v>
      </c>
      <c r="K4" t="s">
        <v>61</v>
      </c>
    </row>
    <row r="5" spans="1:11" x14ac:dyDescent="0.25">
      <c r="A5" t="s">
        <v>75</v>
      </c>
      <c r="B5" t="s">
        <v>903</v>
      </c>
      <c r="C5" t="s">
        <v>77</v>
      </c>
      <c r="D5">
        <v>5</v>
      </c>
      <c r="E5">
        <v>34</v>
      </c>
      <c r="F5">
        <v>11</v>
      </c>
      <c r="G5" s="8" t="s">
        <v>355</v>
      </c>
      <c r="H5">
        <v>0</v>
      </c>
      <c r="I5">
        <v>0</v>
      </c>
      <c r="J5">
        <v>0</v>
      </c>
      <c r="K5" t="s">
        <v>82</v>
      </c>
    </row>
    <row r="6" spans="1:11" x14ac:dyDescent="0.25">
      <c r="A6" t="s">
        <v>95</v>
      </c>
      <c r="B6" t="s">
        <v>904</v>
      </c>
      <c r="C6" t="s">
        <v>97</v>
      </c>
      <c r="D6">
        <v>2</v>
      </c>
      <c r="E6">
        <v>25</v>
      </c>
      <c r="F6">
        <v>9</v>
      </c>
      <c r="G6" s="8" t="s">
        <v>88</v>
      </c>
      <c r="H6">
        <v>0</v>
      </c>
      <c r="I6">
        <v>0</v>
      </c>
      <c r="J6">
        <v>0</v>
      </c>
      <c r="K6" t="s">
        <v>101</v>
      </c>
    </row>
    <row r="7" spans="1:11" x14ac:dyDescent="0.25">
      <c r="A7" t="s">
        <v>110</v>
      </c>
      <c r="B7" t="s">
        <v>905</v>
      </c>
      <c r="C7" t="s">
        <v>77</v>
      </c>
      <c r="D7">
        <v>0</v>
      </c>
      <c r="E7">
        <v>10</v>
      </c>
      <c r="F7">
        <v>1</v>
      </c>
      <c r="G7" s="8" t="s">
        <v>89</v>
      </c>
      <c r="H7">
        <v>0</v>
      </c>
      <c r="I7">
        <v>0</v>
      </c>
      <c r="J7">
        <v>0</v>
      </c>
      <c r="K7" t="s">
        <v>115</v>
      </c>
    </row>
    <row r="8" spans="1:11" x14ac:dyDescent="0.25">
      <c r="A8" t="s">
        <v>122</v>
      </c>
      <c r="B8" t="s">
        <v>903</v>
      </c>
      <c r="C8" t="s">
        <v>123</v>
      </c>
      <c r="D8">
        <v>4</v>
      </c>
      <c r="E8">
        <v>32</v>
      </c>
      <c r="F8">
        <v>8</v>
      </c>
      <c r="G8" s="8" t="s">
        <v>532</v>
      </c>
      <c r="H8">
        <v>0</v>
      </c>
      <c r="I8">
        <v>0</v>
      </c>
      <c r="J8">
        <v>0</v>
      </c>
      <c r="K8" t="s">
        <v>125</v>
      </c>
    </row>
    <row r="9" spans="1:11" x14ac:dyDescent="0.25">
      <c r="A9" t="s">
        <v>133</v>
      </c>
      <c r="B9" t="s">
        <v>906</v>
      </c>
      <c r="C9" t="s">
        <v>135</v>
      </c>
      <c r="D9">
        <v>1</v>
      </c>
      <c r="E9">
        <v>9</v>
      </c>
      <c r="F9">
        <v>2</v>
      </c>
      <c r="G9" s="8" t="s">
        <v>532</v>
      </c>
      <c r="H9">
        <v>0</v>
      </c>
      <c r="I9">
        <v>0</v>
      </c>
      <c r="J9">
        <v>0</v>
      </c>
      <c r="K9" t="s">
        <v>137</v>
      </c>
    </row>
    <row r="10" spans="1:11" x14ac:dyDescent="0.25">
      <c r="A10" t="s">
        <v>142</v>
      </c>
      <c r="B10" t="s">
        <v>906</v>
      </c>
      <c r="C10" t="s">
        <v>97</v>
      </c>
      <c r="D10">
        <v>7</v>
      </c>
      <c r="E10">
        <v>45</v>
      </c>
      <c r="F10">
        <v>14</v>
      </c>
      <c r="G10" s="8" t="s">
        <v>532</v>
      </c>
      <c r="H10">
        <v>1</v>
      </c>
      <c r="I10">
        <v>0</v>
      </c>
      <c r="J10">
        <v>0</v>
      </c>
      <c r="K10" t="s">
        <v>146</v>
      </c>
    </row>
    <row r="11" spans="1:11" x14ac:dyDescent="0.25">
      <c r="A11" t="s">
        <v>154</v>
      </c>
      <c r="B11" t="s">
        <v>907</v>
      </c>
      <c r="C11" t="s">
        <v>156</v>
      </c>
      <c r="D11">
        <v>0</v>
      </c>
      <c r="E11">
        <v>0</v>
      </c>
      <c r="F11">
        <v>0</v>
      </c>
      <c r="G11" s="8" t="s">
        <v>30</v>
      </c>
      <c r="H11">
        <v>0</v>
      </c>
      <c r="I11">
        <v>0</v>
      </c>
      <c r="J11">
        <v>0</v>
      </c>
      <c r="K11" t="s">
        <v>158</v>
      </c>
    </row>
    <row r="12" spans="1:11" x14ac:dyDescent="0.25">
      <c r="A12" t="s">
        <v>161</v>
      </c>
      <c r="B12" t="s">
        <v>908</v>
      </c>
      <c r="C12" t="s">
        <v>123</v>
      </c>
      <c r="D12">
        <v>0</v>
      </c>
      <c r="E12">
        <v>16</v>
      </c>
      <c r="F12">
        <v>4</v>
      </c>
      <c r="G12" s="8" t="s">
        <v>89</v>
      </c>
      <c r="H12">
        <v>2</v>
      </c>
      <c r="I12">
        <v>0</v>
      </c>
      <c r="J12">
        <v>0</v>
      </c>
      <c r="K12" t="s">
        <v>164</v>
      </c>
    </row>
    <row r="13" spans="1:11" x14ac:dyDescent="0.25">
      <c r="A13" t="s">
        <v>169</v>
      </c>
      <c r="B13" t="s">
        <v>907</v>
      </c>
      <c r="C13" t="s">
        <v>170</v>
      </c>
      <c r="D13">
        <v>1</v>
      </c>
      <c r="E13">
        <v>38</v>
      </c>
      <c r="F13">
        <v>15</v>
      </c>
      <c r="G13" s="8" t="s">
        <v>91</v>
      </c>
      <c r="H13">
        <v>1</v>
      </c>
      <c r="I13">
        <v>0</v>
      </c>
      <c r="J13">
        <v>0</v>
      </c>
      <c r="K13" t="s">
        <v>172</v>
      </c>
    </row>
    <row r="14" spans="1:11" x14ac:dyDescent="0.25">
      <c r="A14" t="s">
        <v>179</v>
      </c>
      <c r="B14" t="s">
        <v>904</v>
      </c>
      <c r="C14" t="s">
        <v>77</v>
      </c>
      <c r="D14">
        <v>0</v>
      </c>
      <c r="E14">
        <v>13</v>
      </c>
      <c r="F14">
        <v>3</v>
      </c>
      <c r="G14" s="8" t="s">
        <v>89</v>
      </c>
      <c r="H14">
        <v>0</v>
      </c>
      <c r="I14">
        <v>0</v>
      </c>
      <c r="J14">
        <v>0</v>
      </c>
      <c r="K14" t="s">
        <v>117</v>
      </c>
    </row>
    <row r="15" spans="1:11" x14ac:dyDescent="0.25">
      <c r="A15" t="s">
        <v>183</v>
      </c>
      <c r="B15" t="s">
        <v>909</v>
      </c>
      <c r="C15" t="s">
        <v>123</v>
      </c>
      <c r="D15">
        <v>2</v>
      </c>
      <c r="E15">
        <v>33</v>
      </c>
      <c r="F15">
        <v>8</v>
      </c>
      <c r="G15" s="8" t="s">
        <v>92</v>
      </c>
      <c r="H15">
        <v>4</v>
      </c>
      <c r="I15">
        <v>0</v>
      </c>
      <c r="J15">
        <v>0</v>
      </c>
      <c r="K15" t="s">
        <v>189</v>
      </c>
    </row>
    <row r="16" spans="1:11" x14ac:dyDescent="0.25">
      <c r="A16" t="s">
        <v>196</v>
      </c>
      <c r="B16" t="s">
        <v>904</v>
      </c>
      <c r="C16" t="s">
        <v>135</v>
      </c>
      <c r="D16">
        <v>0</v>
      </c>
      <c r="E16">
        <v>5</v>
      </c>
      <c r="F16">
        <v>1</v>
      </c>
      <c r="G16" s="8" t="s">
        <v>89</v>
      </c>
      <c r="H16">
        <v>0</v>
      </c>
      <c r="I16">
        <v>0</v>
      </c>
      <c r="J16">
        <v>0</v>
      </c>
      <c r="K16" t="s">
        <v>159</v>
      </c>
    </row>
    <row r="17" spans="1:11" x14ac:dyDescent="0.25">
      <c r="A17" t="s">
        <v>204</v>
      </c>
      <c r="B17" t="s">
        <v>906</v>
      </c>
      <c r="C17" t="s">
        <v>77</v>
      </c>
      <c r="D17">
        <v>0</v>
      </c>
      <c r="E17">
        <v>5</v>
      </c>
      <c r="F17">
        <v>2</v>
      </c>
      <c r="G17" s="8" t="s">
        <v>89</v>
      </c>
      <c r="H17">
        <v>0</v>
      </c>
      <c r="I17">
        <v>0</v>
      </c>
      <c r="J17">
        <v>0</v>
      </c>
      <c r="K17" t="s">
        <v>206</v>
      </c>
    </row>
    <row r="18" spans="1:11" x14ac:dyDescent="0.25">
      <c r="A18" t="s">
        <v>211</v>
      </c>
      <c r="B18" t="s">
        <v>908</v>
      </c>
      <c r="C18" t="s">
        <v>156</v>
      </c>
      <c r="D18">
        <v>0</v>
      </c>
      <c r="E18">
        <v>0</v>
      </c>
      <c r="F18">
        <v>0</v>
      </c>
      <c r="G18" s="8" t="s">
        <v>30</v>
      </c>
      <c r="H18">
        <v>0</v>
      </c>
      <c r="I18">
        <v>0</v>
      </c>
      <c r="J18">
        <v>0</v>
      </c>
      <c r="K18" t="s">
        <v>158</v>
      </c>
    </row>
    <row r="19" spans="1:11" x14ac:dyDescent="0.25">
      <c r="A19" t="s">
        <v>213</v>
      </c>
      <c r="B19" t="s">
        <v>909</v>
      </c>
      <c r="C19" t="s">
        <v>170</v>
      </c>
      <c r="D19">
        <v>3</v>
      </c>
      <c r="E19">
        <v>17</v>
      </c>
      <c r="F19">
        <v>6</v>
      </c>
      <c r="G19" s="8" t="s">
        <v>532</v>
      </c>
      <c r="H19">
        <v>0</v>
      </c>
      <c r="I19">
        <v>0</v>
      </c>
      <c r="J19">
        <v>0</v>
      </c>
      <c r="K19" t="s">
        <v>215</v>
      </c>
    </row>
    <row r="20" spans="1:11" x14ac:dyDescent="0.25">
      <c r="A20" t="s">
        <v>221</v>
      </c>
      <c r="B20" t="s">
        <v>910</v>
      </c>
      <c r="C20" t="s">
        <v>77</v>
      </c>
      <c r="D20">
        <v>0</v>
      </c>
      <c r="E20">
        <v>3</v>
      </c>
      <c r="F20">
        <v>0</v>
      </c>
      <c r="G20" s="8" t="s">
        <v>30</v>
      </c>
      <c r="H20">
        <v>0</v>
      </c>
      <c r="I20">
        <v>0</v>
      </c>
      <c r="J20">
        <v>0</v>
      </c>
      <c r="K20" t="s">
        <v>225</v>
      </c>
    </row>
    <row r="21" spans="1:11" x14ac:dyDescent="0.25">
      <c r="A21" t="s">
        <v>226</v>
      </c>
      <c r="B21" t="s">
        <v>906</v>
      </c>
      <c r="C21" t="s">
        <v>170</v>
      </c>
      <c r="D21">
        <v>0</v>
      </c>
      <c r="E21">
        <v>13</v>
      </c>
      <c r="F21">
        <v>4</v>
      </c>
      <c r="G21" s="8" t="s">
        <v>89</v>
      </c>
      <c r="H21">
        <v>0</v>
      </c>
      <c r="I21">
        <v>0</v>
      </c>
      <c r="J21">
        <v>0</v>
      </c>
      <c r="K21" t="s">
        <v>215</v>
      </c>
    </row>
    <row r="22" spans="1:11" x14ac:dyDescent="0.25">
      <c r="A22" t="s">
        <v>235</v>
      </c>
      <c r="B22" t="s">
        <v>906</v>
      </c>
      <c r="C22" t="s">
        <v>135</v>
      </c>
      <c r="D22">
        <v>2</v>
      </c>
      <c r="E22">
        <v>2</v>
      </c>
      <c r="F22">
        <v>2</v>
      </c>
      <c r="G22" s="8" t="s">
        <v>535</v>
      </c>
      <c r="H22">
        <v>0</v>
      </c>
      <c r="I22">
        <v>0</v>
      </c>
      <c r="J22">
        <v>0</v>
      </c>
      <c r="K22" t="s">
        <v>116</v>
      </c>
    </row>
    <row r="23" spans="1:11" x14ac:dyDescent="0.25">
      <c r="A23" t="s">
        <v>238</v>
      </c>
      <c r="B23" t="s">
        <v>911</v>
      </c>
      <c r="C23" t="s">
        <v>170</v>
      </c>
      <c r="D23">
        <v>0</v>
      </c>
      <c r="E23">
        <v>3</v>
      </c>
      <c r="F23">
        <v>0</v>
      </c>
      <c r="G23" s="8" t="s">
        <v>30</v>
      </c>
      <c r="H23">
        <v>1</v>
      </c>
      <c r="I23">
        <v>0</v>
      </c>
      <c r="J23">
        <v>0</v>
      </c>
      <c r="K23" t="s">
        <v>225</v>
      </c>
    </row>
    <row r="24" spans="1:11" x14ac:dyDescent="0.25">
      <c r="A24" t="s">
        <v>241</v>
      </c>
      <c r="B24" t="s">
        <v>906</v>
      </c>
      <c r="C24" t="s">
        <v>77</v>
      </c>
      <c r="D24">
        <v>0</v>
      </c>
      <c r="E24">
        <v>0</v>
      </c>
      <c r="F24">
        <v>0</v>
      </c>
      <c r="G24" s="8" t="s">
        <v>30</v>
      </c>
      <c r="H24">
        <v>0</v>
      </c>
      <c r="I24">
        <v>0</v>
      </c>
      <c r="J24">
        <v>0</v>
      </c>
      <c r="K24" t="s">
        <v>158</v>
      </c>
    </row>
    <row r="25" spans="1:11" x14ac:dyDescent="0.25">
      <c r="A25" t="s">
        <v>242</v>
      </c>
      <c r="B25" t="s">
        <v>912</v>
      </c>
      <c r="C25" t="s">
        <v>123</v>
      </c>
      <c r="D25">
        <v>0</v>
      </c>
      <c r="E25">
        <v>0</v>
      </c>
      <c r="F25">
        <v>0</v>
      </c>
      <c r="G25" s="8" t="s">
        <v>30</v>
      </c>
      <c r="H25">
        <v>0</v>
      </c>
      <c r="I25">
        <v>0</v>
      </c>
      <c r="J25">
        <v>0</v>
      </c>
      <c r="K25" t="s">
        <v>158</v>
      </c>
    </row>
    <row r="26" spans="1:11" x14ac:dyDescent="0.25">
      <c r="A26" t="s">
        <v>245</v>
      </c>
      <c r="B26" t="s">
        <v>913</v>
      </c>
      <c r="C26" t="s">
        <v>77</v>
      </c>
      <c r="D26">
        <v>0</v>
      </c>
      <c r="E26">
        <v>1</v>
      </c>
      <c r="F26">
        <v>0</v>
      </c>
      <c r="G26" s="8" t="s">
        <v>30</v>
      </c>
      <c r="H26">
        <v>0</v>
      </c>
      <c r="I26">
        <v>0</v>
      </c>
      <c r="J26">
        <v>0</v>
      </c>
      <c r="K26" t="s">
        <v>158</v>
      </c>
    </row>
    <row r="27" spans="1:11" x14ac:dyDescent="0.25">
      <c r="A27" t="s">
        <v>248</v>
      </c>
      <c r="B27" t="s">
        <v>906</v>
      </c>
      <c r="C27" t="s">
        <v>97</v>
      </c>
      <c r="D27">
        <v>1</v>
      </c>
      <c r="E27">
        <v>4</v>
      </c>
      <c r="F27">
        <v>1</v>
      </c>
      <c r="G27" s="8" t="s">
        <v>535</v>
      </c>
      <c r="H27">
        <v>0</v>
      </c>
      <c r="I27">
        <v>0</v>
      </c>
      <c r="J27">
        <v>0</v>
      </c>
      <c r="K27" t="s">
        <v>215</v>
      </c>
    </row>
    <row r="28" spans="1:11" x14ac:dyDescent="0.25">
      <c r="A28" t="s">
        <v>251</v>
      </c>
      <c r="B28" t="s">
        <v>906</v>
      </c>
      <c r="C28" t="s">
        <v>52</v>
      </c>
      <c r="D28">
        <v>0</v>
      </c>
      <c r="E28">
        <v>1</v>
      </c>
      <c r="F28">
        <v>0</v>
      </c>
      <c r="G28" s="8" t="s">
        <v>30</v>
      </c>
      <c r="H28">
        <v>0</v>
      </c>
      <c r="I28">
        <v>0</v>
      </c>
      <c r="J28">
        <v>0</v>
      </c>
      <c r="K28" t="s">
        <v>158</v>
      </c>
    </row>
    <row r="29" spans="1:11" x14ac:dyDescent="0.25">
      <c r="A29" t="s">
        <v>253</v>
      </c>
      <c r="B29" t="s">
        <v>906</v>
      </c>
      <c r="C29" t="s">
        <v>123</v>
      </c>
      <c r="D29">
        <v>0</v>
      </c>
      <c r="E29">
        <v>1</v>
      </c>
      <c r="F29">
        <v>0</v>
      </c>
      <c r="G29" s="8" t="s">
        <v>30</v>
      </c>
      <c r="H29">
        <v>0</v>
      </c>
      <c r="I29">
        <v>0</v>
      </c>
      <c r="J29">
        <v>0</v>
      </c>
      <c r="K29" t="s">
        <v>158</v>
      </c>
    </row>
    <row r="30" spans="1:11" x14ac:dyDescent="0.25">
      <c r="A30" t="s">
        <v>261</v>
      </c>
      <c r="B30" t="s">
        <v>30</v>
      </c>
      <c r="C30" t="s">
        <v>30</v>
      </c>
      <c r="D30">
        <v>47</v>
      </c>
      <c r="E30">
        <v>400</v>
      </c>
      <c r="F30">
        <v>141</v>
      </c>
      <c r="G30" s="8" t="s">
        <v>310</v>
      </c>
      <c r="H30">
        <v>10</v>
      </c>
      <c r="I30">
        <v>1</v>
      </c>
      <c r="J30">
        <v>2</v>
      </c>
      <c r="K30" t="s">
        <v>269</v>
      </c>
    </row>
    <row r="31" spans="1:11" x14ac:dyDescent="0.25">
      <c r="A31" t="s">
        <v>280</v>
      </c>
      <c r="B31" t="s">
        <v>30</v>
      </c>
      <c r="C31" t="s">
        <v>30</v>
      </c>
      <c r="D31">
        <v>34</v>
      </c>
      <c r="E31">
        <v>239</v>
      </c>
      <c r="F31">
        <v>92</v>
      </c>
      <c r="G31" s="8" t="s">
        <v>203</v>
      </c>
      <c r="H31">
        <v>2</v>
      </c>
      <c r="I31">
        <v>3</v>
      </c>
      <c r="J31">
        <v>3</v>
      </c>
      <c r="K31" t="s">
        <v>286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75AB-3E5F-4585-B20C-E5E171DAE4E1}">
  <dimension ref="A1:O29"/>
  <sheetViews>
    <sheetView topLeftCell="E1" workbookViewId="0">
      <selection activeCell="O10" sqref="O10"/>
    </sheetView>
  </sheetViews>
  <sheetFormatPr defaultRowHeight="15" x14ac:dyDescent="0.25"/>
  <cols>
    <col min="1" max="1" width="15.140625" bestFit="1" customWidth="1"/>
    <col min="2" max="2" width="12.85546875" bestFit="1" customWidth="1"/>
    <col min="3" max="3" width="14.140625" bestFit="1" customWidth="1"/>
    <col min="4" max="4" width="17.85546875" bestFit="1" customWidth="1"/>
    <col min="5" max="5" width="23.85546875" style="7" bestFit="1" customWidth="1"/>
    <col min="6" max="6" width="22.85546875" style="7" bestFit="1" customWidth="1"/>
    <col min="7" max="7" width="24.42578125" style="22" bestFit="1" customWidth="1"/>
    <col min="10" max="10" width="37.140625" customWidth="1"/>
    <col min="11" max="11" width="18.5703125" customWidth="1"/>
    <col min="14" max="14" width="11.42578125" customWidth="1"/>
  </cols>
  <sheetData>
    <row r="1" spans="1:15" x14ac:dyDescent="0.25">
      <c r="A1" s="9" t="s">
        <v>38</v>
      </c>
      <c r="B1" t="s">
        <v>928</v>
      </c>
    </row>
    <row r="2" spans="1:15" x14ac:dyDescent="0.25">
      <c r="J2" t="s">
        <v>943</v>
      </c>
      <c r="K2">
        <v>38</v>
      </c>
      <c r="O2" s="7"/>
    </row>
    <row r="3" spans="1:15" x14ac:dyDescent="0.25">
      <c r="A3" s="9" t="s">
        <v>926</v>
      </c>
      <c r="B3" t="s">
        <v>932</v>
      </c>
      <c r="C3" t="s">
        <v>1023</v>
      </c>
      <c r="D3" t="s">
        <v>1024</v>
      </c>
      <c r="E3" s="7" t="s">
        <v>1025</v>
      </c>
      <c r="F3" s="7" t="s">
        <v>1026</v>
      </c>
      <c r="G3" t="s">
        <v>1027</v>
      </c>
      <c r="J3" t="s">
        <v>1028</v>
      </c>
      <c r="K3" t="s">
        <v>937</v>
      </c>
      <c r="L3">
        <v>113</v>
      </c>
      <c r="N3" t="s">
        <v>968</v>
      </c>
      <c r="O3" s="7">
        <f>L3/K2</f>
        <v>2.9736842105263159</v>
      </c>
    </row>
    <row r="4" spans="1:15" x14ac:dyDescent="0.25">
      <c r="A4" s="6" t="s">
        <v>368</v>
      </c>
      <c r="B4">
        <v>1</v>
      </c>
      <c r="C4">
        <v>4</v>
      </c>
      <c r="D4">
        <v>1</v>
      </c>
      <c r="E4" s="7">
        <v>0.10526315789473684</v>
      </c>
      <c r="F4" s="7">
        <v>2.6315789473684209E-2</v>
      </c>
      <c r="G4">
        <v>1</v>
      </c>
      <c r="K4" t="s">
        <v>965</v>
      </c>
      <c r="L4">
        <v>105</v>
      </c>
      <c r="N4" t="s">
        <v>968</v>
      </c>
      <c r="O4" s="7">
        <f>L4/K2</f>
        <v>2.763157894736842</v>
      </c>
    </row>
    <row r="5" spans="1:15" x14ac:dyDescent="0.25">
      <c r="A5" s="6" t="s">
        <v>226</v>
      </c>
      <c r="B5">
        <v>3</v>
      </c>
      <c r="C5">
        <v>22</v>
      </c>
      <c r="D5">
        <v>5</v>
      </c>
      <c r="E5" s="7">
        <v>0.57894736842105265</v>
      </c>
      <c r="F5" s="7">
        <v>0.13157894736842105</v>
      </c>
      <c r="G5">
        <v>0.6</v>
      </c>
      <c r="L5" s="23"/>
      <c r="O5" s="7"/>
    </row>
    <row r="6" spans="1:15" x14ac:dyDescent="0.25">
      <c r="A6" s="6" t="s">
        <v>50</v>
      </c>
      <c r="B6">
        <v>27</v>
      </c>
      <c r="C6">
        <v>113</v>
      </c>
      <c r="D6">
        <v>50</v>
      </c>
      <c r="E6" s="7">
        <v>2.9736842105263159</v>
      </c>
      <c r="F6" s="7">
        <v>1.3157894736842106</v>
      </c>
      <c r="G6">
        <v>0.54</v>
      </c>
      <c r="J6" t="s">
        <v>1029</v>
      </c>
      <c r="K6" t="s">
        <v>937</v>
      </c>
      <c r="L6">
        <v>50</v>
      </c>
      <c r="N6" t="s">
        <v>968</v>
      </c>
      <c r="O6" s="7">
        <v>1.3157894736842106</v>
      </c>
    </row>
    <row r="7" spans="1:15" x14ac:dyDescent="0.25">
      <c r="A7" s="6" t="s">
        <v>133</v>
      </c>
      <c r="B7">
        <v>2</v>
      </c>
      <c r="C7">
        <v>5</v>
      </c>
      <c r="D7">
        <v>4</v>
      </c>
      <c r="E7" s="7">
        <v>0.13157894736842105</v>
      </c>
      <c r="F7" s="7">
        <v>0.10526315789473684</v>
      </c>
      <c r="G7">
        <v>0.5</v>
      </c>
      <c r="K7" t="s">
        <v>965</v>
      </c>
      <c r="L7" s="31">
        <v>48</v>
      </c>
      <c r="N7" t="s">
        <v>968</v>
      </c>
      <c r="O7" s="7">
        <f>L7/K2</f>
        <v>1.263157894736842</v>
      </c>
    </row>
    <row r="8" spans="1:15" x14ac:dyDescent="0.25">
      <c r="A8" s="6" t="s">
        <v>235</v>
      </c>
      <c r="B8">
        <v>1</v>
      </c>
      <c r="C8">
        <v>4</v>
      </c>
      <c r="D8">
        <v>2</v>
      </c>
      <c r="E8" s="7">
        <v>0.10526315789473684</v>
      </c>
      <c r="F8" s="7">
        <v>5.2631578947368418E-2</v>
      </c>
      <c r="G8">
        <v>0.5</v>
      </c>
      <c r="O8" s="7"/>
    </row>
    <row r="9" spans="1:15" x14ac:dyDescent="0.25">
      <c r="A9" s="6" t="s">
        <v>110</v>
      </c>
      <c r="B9">
        <v>2</v>
      </c>
      <c r="C9">
        <v>15</v>
      </c>
      <c r="D9">
        <v>5</v>
      </c>
      <c r="E9" s="7">
        <v>0.39473684210526316</v>
      </c>
      <c r="F9" s="7">
        <v>0.13157894736842105</v>
      </c>
      <c r="G9">
        <v>0.4</v>
      </c>
      <c r="J9" t="s">
        <v>1033</v>
      </c>
      <c r="K9" t="s">
        <v>937</v>
      </c>
      <c r="L9" s="22">
        <v>0.54</v>
      </c>
      <c r="N9" t="s">
        <v>968</v>
      </c>
      <c r="O9" s="7">
        <v>1.31578947368421</v>
      </c>
    </row>
    <row r="10" spans="1:15" x14ac:dyDescent="0.25">
      <c r="A10" s="6" t="s">
        <v>95</v>
      </c>
      <c r="B10">
        <v>6</v>
      </c>
      <c r="C10">
        <v>34</v>
      </c>
      <c r="D10">
        <v>15</v>
      </c>
      <c r="E10" s="7">
        <v>0.89473684210526316</v>
      </c>
      <c r="F10" s="7">
        <v>0.39473684210526316</v>
      </c>
      <c r="G10">
        <v>0.4</v>
      </c>
      <c r="O10" s="7"/>
    </row>
    <row r="11" spans="1:15" x14ac:dyDescent="0.25">
      <c r="A11" s="6" t="s">
        <v>221</v>
      </c>
      <c r="B11">
        <v>2</v>
      </c>
      <c r="C11">
        <v>20</v>
      </c>
      <c r="D11">
        <v>5</v>
      </c>
      <c r="E11" s="7">
        <v>0.52631578947368418</v>
      </c>
      <c r="F11" s="7">
        <v>0.13157894736842105</v>
      </c>
      <c r="G11">
        <v>0.4</v>
      </c>
      <c r="J11" t="s">
        <v>1031</v>
      </c>
      <c r="L11">
        <v>683</v>
      </c>
      <c r="N11" t="s">
        <v>968</v>
      </c>
      <c r="O11" s="7">
        <v>17.973684210526315</v>
      </c>
    </row>
    <row r="12" spans="1:15" x14ac:dyDescent="0.25">
      <c r="A12" s="6" t="s">
        <v>142</v>
      </c>
      <c r="B12">
        <v>19</v>
      </c>
      <c r="C12">
        <v>105</v>
      </c>
      <c r="D12">
        <v>48</v>
      </c>
      <c r="E12" s="7">
        <v>2.763157894736842</v>
      </c>
      <c r="F12" s="7">
        <v>1.263157894736842</v>
      </c>
      <c r="G12">
        <v>0.39583333333333331</v>
      </c>
      <c r="J12" t="s">
        <v>1032</v>
      </c>
      <c r="L12">
        <v>264</v>
      </c>
      <c r="N12" t="s">
        <v>968</v>
      </c>
      <c r="O12" s="7">
        <v>6.9473684210526319</v>
      </c>
    </row>
    <row r="13" spans="1:15" x14ac:dyDescent="0.25">
      <c r="A13" s="6" t="s">
        <v>242</v>
      </c>
      <c r="B13">
        <v>8</v>
      </c>
      <c r="C13">
        <v>62</v>
      </c>
      <c r="D13">
        <v>22</v>
      </c>
      <c r="E13" s="7">
        <v>1.631578947368421</v>
      </c>
      <c r="F13" s="7">
        <v>0.57894736842105265</v>
      </c>
      <c r="G13">
        <v>0.36363636363636365</v>
      </c>
    </row>
    <row r="14" spans="1:15" x14ac:dyDescent="0.25">
      <c r="A14" s="6" t="s">
        <v>75</v>
      </c>
      <c r="B14">
        <v>4</v>
      </c>
      <c r="C14">
        <v>32</v>
      </c>
      <c r="D14">
        <v>13</v>
      </c>
      <c r="E14" s="7">
        <v>0.84210526315789469</v>
      </c>
      <c r="F14" s="7">
        <v>0.34210526315789475</v>
      </c>
      <c r="G14">
        <v>0.30769230769230771</v>
      </c>
    </row>
    <row r="15" spans="1:15" x14ac:dyDescent="0.25">
      <c r="A15" s="6" t="s">
        <v>313</v>
      </c>
      <c r="B15">
        <v>11</v>
      </c>
      <c r="C15">
        <v>96</v>
      </c>
      <c r="D15">
        <v>37</v>
      </c>
      <c r="E15" s="7">
        <v>2.5263157894736841</v>
      </c>
      <c r="F15" s="7">
        <v>0.97368421052631582</v>
      </c>
      <c r="G15">
        <v>0.29729729729729731</v>
      </c>
    </row>
    <row r="16" spans="1:15" x14ac:dyDescent="0.25">
      <c r="A16" s="6" t="s">
        <v>183</v>
      </c>
      <c r="B16">
        <v>4</v>
      </c>
      <c r="C16">
        <v>44</v>
      </c>
      <c r="D16">
        <v>17</v>
      </c>
      <c r="E16" s="7">
        <v>1.1578947368421053</v>
      </c>
      <c r="F16" s="7">
        <v>0.44736842105263158</v>
      </c>
      <c r="G16">
        <v>0.23529411764705882</v>
      </c>
    </row>
    <row r="17" spans="1:7" x14ac:dyDescent="0.25">
      <c r="A17" s="6" t="s">
        <v>122</v>
      </c>
      <c r="B17">
        <v>1</v>
      </c>
      <c r="C17">
        <v>22</v>
      </c>
      <c r="D17">
        <v>5</v>
      </c>
      <c r="E17" s="7">
        <v>0.57894736842105265</v>
      </c>
      <c r="F17" s="7">
        <v>0.13157894736842105</v>
      </c>
      <c r="G17">
        <v>0.2</v>
      </c>
    </row>
    <row r="18" spans="1:7" x14ac:dyDescent="0.25">
      <c r="A18" s="6" t="s">
        <v>213</v>
      </c>
      <c r="B18">
        <v>3</v>
      </c>
      <c r="C18">
        <v>55</v>
      </c>
      <c r="D18">
        <v>19</v>
      </c>
      <c r="E18" s="7">
        <v>1.4473684210526316</v>
      </c>
      <c r="F18" s="7">
        <v>0.5</v>
      </c>
      <c r="G18">
        <v>0.15789473684210525</v>
      </c>
    </row>
    <row r="19" spans="1:7" x14ac:dyDescent="0.25">
      <c r="A19" s="6" t="s">
        <v>196</v>
      </c>
      <c r="B19">
        <v>0</v>
      </c>
      <c r="C19">
        <v>9</v>
      </c>
      <c r="D19">
        <v>4</v>
      </c>
      <c r="E19" s="7">
        <v>0.23684210526315788</v>
      </c>
      <c r="F19" s="7">
        <v>0.10526315789473684</v>
      </c>
      <c r="G19">
        <v>0</v>
      </c>
    </row>
    <row r="20" spans="1:7" x14ac:dyDescent="0.25">
      <c r="A20" s="6" t="s">
        <v>373</v>
      </c>
      <c r="B20">
        <v>0</v>
      </c>
      <c r="C20">
        <v>1</v>
      </c>
      <c r="D20">
        <v>1</v>
      </c>
      <c r="E20" s="7">
        <v>2.6315789473684209E-2</v>
      </c>
      <c r="F20" s="7">
        <v>2.6315789473684209E-2</v>
      </c>
      <c r="G20">
        <v>0</v>
      </c>
    </row>
    <row r="21" spans="1:7" x14ac:dyDescent="0.25">
      <c r="A21" s="6" t="s">
        <v>179</v>
      </c>
      <c r="B21">
        <v>0</v>
      </c>
      <c r="C21">
        <v>20</v>
      </c>
      <c r="D21">
        <v>8</v>
      </c>
      <c r="E21" s="7">
        <v>0.52631578947368418</v>
      </c>
      <c r="F21" s="7">
        <v>0.21052631578947367</v>
      </c>
      <c r="G21">
        <v>0</v>
      </c>
    </row>
    <row r="22" spans="1:7" x14ac:dyDescent="0.25">
      <c r="A22" s="6" t="s">
        <v>204</v>
      </c>
      <c r="B22">
        <v>0</v>
      </c>
      <c r="C22">
        <v>16</v>
      </c>
      <c r="D22">
        <v>3</v>
      </c>
      <c r="E22" s="7">
        <v>0.42105263157894735</v>
      </c>
      <c r="F22" s="7">
        <v>7.8947368421052627E-2</v>
      </c>
      <c r="G22">
        <v>0</v>
      </c>
    </row>
    <row r="23" spans="1:7" x14ac:dyDescent="0.25">
      <c r="A23" s="6" t="s">
        <v>211</v>
      </c>
      <c r="B23">
        <v>0</v>
      </c>
      <c r="C23">
        <v>0</v>
      </c>
      <c r="D23">
        <v>0</v>
      </c>
      <c r="E23" s="7">
        <v>0</v>
      </c>
      <c r="F23" s="7">
        <v>0</v>
      </c>
      <c r="G23" t="e">
        <v>#DIV/0!</v>
      </c>
    </row>
    <row r="24" spans="1:7" x14ac:dyDescent="0.25">
      <c r="A24" s="6" t="s">
        <v>248</v>
      </c>
      <c r="B24">
        <v>0</v>
      </c>
      <c r="C24">
        <v>0</v>
      </c>
      <c r="D24">
        <v>0</v>
      </c>
      <c r="E24" s="7">
        <v>0</v>
      </c>
      <c r="F24" s="7">
        <v>0</v>
      </c>
      <c r="G24" t="e">
        <v>#DIV/0!</v>
      </c>
    </row>
    <row r="25" spans="1:7" x14ac:dyDescent="0.25">
      <c r="A25" s="6" t="s">
        <v>371</v>
      </c>
      <c r="B25">
        <v>0</v>
      </c>
      <c r="C25">
        <v>2</v>
      </c>
      <c r="D25">
        <v>0</v>
      </c>
      <c r="E25" s="7">
        <v>5.2631578947368418E-2</v>
      </c>
      <c r="F25" s="7">
        <v>0</v>
      </c>
      <c r="G25" t="e">
        <v>#DIV/0!</v>
      </c>
    </row>
    <row r="26" spans="1:7" x14ac:dyDescent="0.25">
      <c r="A26" s="6" t="s">
        <v>370</v>
      </c>
      <c r="B26">
        <v>0</v>
      </c>
      <c r="C26">
        <v>2</v>
      </c>
      <c r="D26">
        <v>0</v>
      </c>
      <c r="E26" s="7">
        <v>5.2631578947368418E-2</v>
      </c>
      <c r="F26" s="7">
        <v>0</v>
      </c>
      <c r="G26" t="e">
        <v>#DIV/0!</v>
      </c>
    </row>
    <row r="27" spans="1:7" x14ac:dyDescent="0.25">
      <c r="A27" s="6" t="s">
        <v>374</v>
      </c>
      <c r="B27">
        <v>0</v>
      </c>
      <c r="C27">
        <v>0</v>
      </c>
      <c r="D27">
        <v>0</v>
      </c>
      <c r="E27" s="7">
        <v>0</v>
      </c>
      <c r="F27" s="7">
        <v>0</v>
      </c>
      <c r="G27" t="e">
        <v>#DIV/0!</v>
      </c>
    </row>
    <row r="28" spans="1:7" x14ac:dyDescent="0.25">
      <c r="A28" s="6" t="s">
        <v>154</v>
      </c>
      <c r="B28">
        <v>0</v>
      </c>
      <c r="C28">
        <v>0</v>
      </c>
      <c r="D28">
        <v>0</v>
      </c>
      <c r="E28" s="7">
        <v>0</v>
      </c>
      <c r="F28" s="7">
        <v>0</v>
      </c>
      <c r="G28" t="e">
        <v>#DIV/0!</v>
      </c>
    </row>
    <row r="29" spans="1:7" x14ac:dyDescent="0.25">
      <c r="A29" s="6" t="s">
        <v>927</v>
      </c>
      <c r="B29">
        <v>94</v>
      </c>
      <c r="C29">
        <v>683</v>
      </c>
      <c r="D29">
        <v>264</v>
      </c>
      <c r="E29" s="7">
        <v>17.973684210526315</v>
      </c>
      <c r="F29" s="7">
        <v>6.9473684210526319</v>
      </c>
      <c r="G29">
        <v>0.35606060606060608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8628-1169-488C-94AB-1497069C18DC}">
  <dimension ref="A1:K30"/>
  <sheetViews>
    <sheetView workbookViewId="0">
      <selection activeCell="F29" sqref="F29"/>
    </sheetView>
  </sheetViews>
  <sheetFormatPr defaultRowHeight="15" x14ac:dyDescent="0.25"/>
  <cols>
    <col min="1" max="1" width="15.140625" bestFit="1" customWidth="1"/>
    <col min="2" max="6" width="11.42578125" bestFit="1" customWidth="1"/>
    <col min="7" max="7" width="12.42578125" style="8" bestFit="1" customWidth="1"/>
    <col min="8" max="11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s="8" t="s">
        <v>12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25">
      <c r="A2" t="s">
        <v>30</v>
      </c>
      <c r="B2" t="s">
        <v>30</v>
      </c>
    </row>
    <row r="3" spans="1:11" x14ac:dyDescent="0.25">
      <c r="A3" t="s">
        <v>36</v>
      </c>
      <c r="B3" t="s">
        <v>37</v>
      </c>
      <c r="C3" t="s">
        <v>38</v>
      </c>
      <c r="D3" t="s">
        <v>563</v>
      </c>
      <c r="E3" t="s">
        <v>1020</v>
      </c>
      <c r="F3" t="s">
        <v>1021</v>
      </c>
      <c r="G3" s="7" t="s">
        <v>528</v>
      </c>
      <c r="H3" t="s">
        <v>529</v>
      </c>
      <c r="I3" t="s">
        <v>44</v>
      </c>
      <c r="J3" t="s">
        <v>1022</v>
      </c>
      <c r="K3" t="s">
        <v>45</v>
      </c>
    </row>
    <row r="4" spans="1:11" x14ac:dyDescent="0.25">
      <c r="A4" t="s">
        <v>242</v>
      </c>
      <c r="B4" t="s">
        <v>912</v>
      </c>
      <c r="C4" t="s">
        <v>123</v>
      </c>
      <c r="D4">
        <v>8</v>
      </c>
      <c r="E4">
        <v>62</v>
      </c>
      <c r="F4">
        <v>22</v>
      </c>
      <c r="G4" s="8" t="s">
        <v>234</v>
      </c>
      <c r="H4">
        <v>0</v>
      </c>
      <c r="I4">
        <v>0</v>
      </c>
      <c r="J4">
        <v>0</v>
      </c>
      <c r="K4" t="s">
        <v>296</v>
      </c>
    </row>
    <row r="5" spans="1:11" x14ac:dyDescent="0.25">
      <c r="A5" t="s">
        <v>142</v>
      </c>
      <c r="B5" t="s">
        <v>906</v>
      </c>
      <c r="C5" t="s">
        <v>170</v>
      </c>
      <c r="D5">
        <v>19</v>
      </c>
      <c r="E5">
        <v>105</v>
      </c>
      <c r="F5">
        <v>48</v>
      </c>
      <c r="G5" s="8" t="s">
        <v>178</v>
      </c>
      <c r="H5">
        <v>4</v>
      </c>
      <c r="I5">
        <v>0</v>
      </c>
      <c r="J5">
        <v>0</v>
      </c>
      <c r="K5" t="s">
        <v>304</v>
      </c>
    </row>
    <row r="6" spans="1:11" x14ac:dyDescent="0.25">
      <c r="A6" t="s">
        <v>154</v>
      </c>
      <c r="B6" t="s">
        <v>907</v>
      </c>
      <c r="C6" t="s">
        <v>156</v>
      </c>
      <c r="D6">
        <v>0</v>
      </c>
      <c r="E6">
        <v>0</v>
      </c>
      <c r="F6">
        <v>0</v>
      </c>
      <c r="G6" s="8" t="s">
        <v>30</v>
      </c>
      <c r="H6">
        <v>0</v>
      </c>
      <c r="I6">
        <v>0</v>
      </c>
      <c r="J6">
        <v>0</v>
      </c>
      <c r="K6" t="s">
        <v>158</v>
      </c>
    </row>
    <row r="7" spans="1:11" x14ac:dyDescent="0.25">
      <c r="A7" t="s">
        <v>313</v>
      </c>
      <c r="B7" t="s">
        <v>925</v>
      </c>
      <c r="C7" t="s">
        <v>97</v>
      </c>
      <c r="D7">
        <v>11</v>
      </c>
      <c r="E7">
        <v>96</v>
      </c>
      <c r="F7">
        <v>37</v>
      </c>
      <c r="G7" s="8" t="s">
        <v>94</v>
      </c>
      <c r="H7">
        <v>13</v>
      </c>
      <c r="I7">
        <v>2</v>
      </c>
      <c r="J7">
        <v>2</v>
      </c>
      <c r="K7" t="s">
        <v>171</v>
      </c>
    </row>
    <row r="8" spans="1:11" x14ac:dyDescent="0.25">
      <c r="A8" t="s">
        <v>204</v>
      </c>
      <c r="B8" t="s">
        <v>906</v>
      </c>
      <c r="C8" t="s">
        <v>77</v>
      </c>
      <c r="D8">
        <v>0</v>
      </c>
      <c r="E8">
        <v>16</v>
      </c>
      <c r="F8">
        <v>3</v>
      </c>
      <c r="G8" s="8" t="s">
        <v>89</v>
      </c>
      <c r="H8">
        <v>1</v>
      </c>
      <c r="I8">
        <v>0</v>
      </c>
      <c r="J8">
        <v>0</v>
      </c>
      <c r="K8" t="s">
        <v>116</v>
      </c>
    </row>
    <row r="9" spans="1:11" x14ac:dyDescent="0.25">
      <c r="A9" t="s">
        <v>95</v>
      </c>
      <c r="B9" t="s">
        <v>904</v>
      </c>
      <c r="C9" t="s">
        <v>97</v>
      </c>
      <c r="D9">
        <v>6</v>
      </c>
      <c r="E9">
        <v>34</v>
      </c>
      <c r="F9">
        <v>15</v>
      </c>
      <c r="G9" s="8" t="s">
        <v>178</v>
      </c>
      <c r="H9">
        <v>0</v>
      </c>
      <c r="I9">
        <v>0</v>
      </c>
      <c r="J9">
        <v>0</v>
      </c>
      <c r="K9" t="s">
        <v>330</v>
      </c>
    </row>
    <row r="10" spans="1:11" x14ac:dyDescent="0.25">
      <c r="A10" t="s">
        <v>50</v>
      </c>
      <c r="B10" t="s">
        <v>902</v>
      </c>
      <c r="C10" t="s">
        <v>52</v>
      </c>
      <c r="D10">
        <v>27</v>
      </c>
      <c r="E10">
        <v>113</v>
      </c>
      <c r="F10">
        <v>50</v>
      </c>
      <c r="G10" s="8" t="s">
        <v>178</v>
      </c>
      <c r="H10">
        <v>1</v>
      </c>
      <c r="I10">
        <v>7</v>
      </c>
      <c r="J10">
        <v>8</v>
      </c>
      <c r="K10" t="s">
        <v>336</v>
      </c>
    </row>
    <row r="11" spans="1:11" x14ac:dyDescent="0.25">
      <c r="A11" t="s">
        <v>179</v>
      </c>
      <c r="B11" t="s">
        <v>904</v>
      </c>
      <c r="C11" t="s">
        <v>77</v>
      </c>
      <c r="D11">
        <v>0</v>
      </c>
      <c r="E11">
        <v>20</v>
      </c>
      <c r="F11">
        <v>8</v>
      </c>
      <c r="G11" s="8" t="s">
        <v>89</v>
      </c>
      <c r="H11">
        <v>0</v>
      </c>
      <c r="I11">
        <v>0</v>
      </c>
      <c r="J11">
        <v>0</v>
      </c>
      <c r="K11" t="s">
        <v>125</v>
      </c>
    </row>
    <row r="12" spans="1:11" x14ac:dyDescent="0.25">
      <c r="A12" t="s">
        <v>110</v>
      </c>
      <c r="B12" t="s">
        <v>905</v>
      </c>
      <c r="C12" t="s">
        <v>135</v>
      </c>
      <c r="D12">
        <v>2</v>
      </c>
      <c r="E12">
        <v>15</v>
      </c>
      <c r="F12">
        <v>5</v>
      </c>
      <c r="G12" s="8" t="s">
        <v>178</v>
      </c>
      <c r="H12">
        <v>0</v>
      </c>
      <c r="I12">
        <v>0</v>
      </c>
      <c r="J12">
        <v>0</v>
      </c>
      <c r="K12" t="s">
        <v>165</v>
      </c>
    </row>
    <row r="13" spans="1:11" x14ac:dyDescent="0.25">
      <c r="A13" t="s">
        <v>75</v>
      </c>
      <c r="B13" t="s">
        <v>903</v>
      </c>
      <c r="C13" t="s">
        <v>77</v>
      </c>
      <c r="D13">
        <v>4</v>
      </c>
      <c r="E13">
        <v>32</v>
      </c>
      <c r="F13">
        <v>13</v>
      </c>
      <c r="G13" s="8" t="s">
        <v>322</v>
      </c>
      <c r="H13">
        <v>0</v>
      </c>
      <c r="I13">
        <v>0</v>
      </c>
      <c r="J13">
        <v>0</v>
      </c>
      <c r="K13" t="s">
        <v>172</v>
      </c>
    </row>
    <row r="14" spans="1:11" x14ac:dyDescent="0.25">
      <c r="A14" t="s">
        <v>221</v>
      </c>
      <c r="B14" t="s">
        <v>910</v>
      </c>
      <c r="C14" t="s">
        <v>77</v>
      </c>
      <c r="D14">
        <v>2</v>
      </c>
      <c r="E14">
        <v>20</v>
      </c>
      <c r="F14">
        <v>5</v>
      </c>
      <c r="G14" s="8" t="s">
        <v>178</v>
      </c>
      <c r="H14">
        <v>0</v>
      </c>
      <c r="I14">
        <v>0</v>
      </c>
      <c r="J14">
        <v>0</v>
      </c>
      <c r="K14" t="s">
        <v>189</v>
      </c>
    </row>
    <row r="15" spans="1:11" x14ac:dyDescent="0.25">
      <c r="A15" t="s">
        <v>213</v>
      </c>
      <c r="B15" t="s">
        <v>909</v>
      </c>
      <c r="C15" t="s">
        <v>170</v>
      </c>
      <c r="D15">
        <v>3</v>
      </c>
      <c r="E15">
        <v>55</v>
      </c>
      <c r="F15">
        <v>19</v>
      </c>
      <c r="G15" s="8" t="s">
        <v>350</v>
      </c>
      <c r="H15">
        <v>0</v>
      </c>
      <c r="I15">
        <v>0</v>
      </c>
      <c r="J15">
        <v>0</v>
      </c>
      <c r="K15" t="s">
        <v>189</v>
      </c>
    </row>
    <row r="16" spans="1:11" x14ac:dyDescent="0.25">
      <c r="A16" t="s">
        <v>122</v>
      </c>
      <c r="B16" t="s">
        <v>903</v>
      </c>
      <c r="C16" t="s">
        <v>123</v>
      </c>
      <c r="D16">
        <v>1</v>
      </c>
      <c r="E16">
        <v>22</v>
      </c>
      <c r="F16">
        <v>5</v>
      </c>
      <c r="G16" s="8" t="s">
        <v>132</v>
      </c>
      <c r="H16">
        <v>0</v>
      </c>
      <c r="I16">
        <v>0</v>
      </c>
      <c r="J16">
        <v>0</v>
      </c>
      <c r="K16" t="s">
        <v>182</v>
      </c>
    </row>
    <row r="17" spans="1:11" x14ac:dyDescent="0.25">
      <c r="A17" t="s">
        <v>183</v>
      </c>
      <c r="B17" t="s">
        <v>909</v>
      </c>
      <c r="C17" t="s">
        <v>123</v>
      </c>
      <c r="D17">
        <v>4</v>
      </c>
      <c r="E17">
        <v>44</v>
      </c>
      <c r="F17">
        <v>17</v>
      </c>
      <c r="G17" s="8" t="s">
        <v>94</v>
      </c>
      <c r="H17">
        <v>6</v>
      </c>
      <c r="I17">
        <v>0</v>
      </c>
      <c r="J17">
        <v>0</v>
      </c>
      <c r="K17" t="s">
        <v>229</v>
      </c>
    </row>
    <row r="18" spans="1:11" x14ac:dyDescent="0.25">
      <c r="A18" t="s">
        <v>235</v>
      </c>
      <c r="B18" t="s">
        <v>906</v>
      </c>
      <c r="C18" t="s">
        <v>135</v>
      </c>
      <c r="D18">
        <v>1</v>
      </c>
      <c r="E18">
        <v>4</v>
      </c>
      <c r="F18">
        <v>2</v>
      </c>
      <c r="G18" s="8" t="s">
        <v>532</v>
      </c>
      <c r="H18">
        <v>0</v>
      </c>
      <c r="I18">
        <v>0</v>
      </c>
      <c r="J18">
        <v>0</v>
      </c>
      <c r="K18" t="s">
        <v>249</v>
      </c>
    </row>
    <row r="19" spans="1:11" x14ac:dyDescent="0.25">
      <c r="A19" t="s">
        <v>226</v>
      </c>
      <c r="B19" t="s">
        <v>906</v>
      </c>
      <c r="C19" t="s">
        <v>170</v>
      </c>
      <c r="D19">
        <v>3</v>
      </c>
      <c r="E19">
        <v>22</v>
      </c>
      <c r="F19">
        <v>5</v>
      </c>
      <c r="G19" s="8" t="s">
        <v>309</v>
      </c>
      <c r="H19">
        <v>0</v>
      </c>
      <c r="I19">
        <v>0</v>
      </c>
      <c r="J19">
        <v>0</v>
      </c>
      <c r="K19" t="s">
        <v>63</v>
      </c>
    </row>
    <row r="20" spans="1:11" x14ac:dyDescent="0.25">
      <c r="A20" t="s">
        <v>133</v>
      </c>
      <c r="B20" t="s">
        <v>906</v>
      </c>
      <c r="C20" t="s">
        <v>135</v>
      </c>
      <c r="D20">
        <v>2</v>
      </c>
      <c r="E20">
        <v>5</v>
      </c>
      <c r="F20">
        <v>4</v>
      </c>
      <c r="G20" s="8" t="s">
        <v>532</v>
      </c>
      <c r="H20">
        <v>0</v>
      </c>
      <c r="I20">
        <v>0</v>
      </c>
      <c r="J20">
        <v>0</v>
      </c>
      <c r="K20" t="s">
        <v>207</v>
      </c>
    </row>
    <row r="21" spans="1:11" x14ac:dyDescent="0.25">
      <c r="A21" t="s">
        <v>196</v>
      </c>
      <c r="B21" t="s">
        <v>904</v>
      </c>
      <c r="C21" t="s">
        <v>123</v>
      </c>
      <c r="D21">
        <v>0</v>
      </c>
      <c r="E21">
        <v>9</v>
      </c>
      <c r="F21">
        <v>4</v>
      </c>
      <c r="G21" s="8" t="s">
        <v>89</v>
      </c>
      <c r="H21">
        <v>0</v>
      </c>
      <c r="I21">
        <v>0</v>
      </c>
      <c r="J21">
        <v>0</v>
      </c>
      <c r="K21" t="s">
        <v>215</v>
      </c>
    </row>
    <row r="22" spans="1:11" x14ac:dyDescent="0.25">
      <c r="A22" t="s">
        <v>211</v>
      </c>
      <c r="B22" t="s">
        <v>908</v>
      </c>
      <c r="C22" t="s">
        <v>156</v>
      </c>
      <c r="D22">
        <v>0</v>
      </c>
      <c r="E22">
        <v>0</v>
      </c>
      <c r="F22">
        <v>0</v>
      </c>
      <c r="G22" s="8" t="s">
        <v>30</v>
      </c>
      <c r="H22">
        <v>0</v>
      </c>
      <c r="I22">
        <v>0</v>
      </c>
      <c r="J22">
        <v>0</v>
      </c>
      <c r="K22" t="s">
        <v>158</v>
      </c>
    </row>
    <row r="23" spans="1:11" x14ac:dyDescent="0.25">
      <c r="A23" t="s">
        <v>368</v>
      </c>
      <c r="B23" t="s">
        <v>902</v>
      </c>
      <c r="C23" t="s">
        <v>170</v>
      </c>
      <c r="D23">
        <v>1</v>
      </c>
      <c r="E23">
        <v>4</v>
      </c>
      <c r="F23">
        <v>1</v>
      </c>
      <c r="G23" s="8" t="s">
        <v>535</v>
      </c>
      <c r="H23">
        <v>0</v>
      </c>
      <c r="I23">
        <v>0</v>
      </c>
      <c r="J23">
        <v>0</v>
      </c>
      <c r="K23" t="s">
        <v>125</v>
      </c>
    </row>
    <row r="24" spans="1:11" x14ac:dyDescent="0.25">
      <c r="A24" t="s">
        <v>370</v>
      </c>
      <c r="B24" t="s">
        <v>906</v>
      </c>
      <c r="C24" t="s">
        <v>123</v>
      </c>
      <c r="D24">
        <v>0</v>
      </c>
      <c r="E24">
        <v>2</v>
      </c>
      <c r="F24">
        <v>0</v>
      </c>
      <c r="G24" s="8" t="s">
        <v>30</v>
      </c>
      <c r="H24">
        <v>0</v>
      </c>
      <c r="I24">
        <v>0</v>
      </c>
      <c r="J24">
        <v>0</v>
      </c>
      <c r="K24" t="s">
        <v>206</v>
      </c>
    </row>
    <row r="25" spans="1:11" x14ac:dyDescent="0.25">
      <c r="A25" t="s">
        <v>371</v>
      </c>
      <c r="B25" t="s">
        <v>912</v>
      </c>
      <c r="C25" t="s">
        <v>170</v>
      </c>
      <c r="D25">
        <v>0</v>
      </c>
      <c r="E25">
        <v>2</v>
      </c>
      <c r="F25">
        <v>0</v>
      </c>
      <c r="G25" s="8" t="s">
        <v>30</v>
      </c>
      <c r="H25">
        <v>0</v>
      </c>
      <c r="I25">
        <v>0</v>
      </c>
      <c r="J25">
        <v>0</v>
      </c>
      <c r="K25" t="s">
        <v>225</v>
      </c>
    </row>
    <row r="26" spans="1:11" x14ac:dyDescent="0.25">
      <c r="A26" t="s">
        <v>373</v>
      </c>
      <c r="B26" t="s">
        <v>912</v>
      </c>
      <c r="C26" t="s">
        <v>77</v>
      </c>
      <c r="D26">
        <v>0</v>
      </c>
      <c r="E26">
        <v>1</v>
      </c>
      <c r="F26">
        <v>1</v>
      </c>
      <c r="G26" s="8" t="s">
        <v>89</v>
      </c>
      <c r="H26">
        <v>0</v>
      </c>
      <c r="I26">
        <v>0</v>
      </c>
      <c r="J26">
        <v>0</v>
      </c>
      <c r="K26" t="s">
        <v>158</v>
      </c>
    </row>
    <row r="27" spans="1:11" x14ac:dyDescent="0.25">
      <c r="A27" t="s">
        <v>374</v>
      </c>
      <c r="B27" t="s">
        <v>906</v>
      </c>
      <c r="C27" t="s">
        <v>123</v>
      </c>
      <c r="D27">
        <v>0</v>
      </c>
      <c r="E27">
        <v>0</v>
      </c>
      <c r="F27">
        <v>0</v>
      </c>
      <c r="G27" s="8" t="s">
        <v>30</v>
      </c>
      <c r="H27">
        <v>0</v>
      </c>
      <c r="I27">
        <v>0</v>
      </c>
      <c r="J27">
        <v>0</v>
      </c>
      <c r="K27" t="s">
        <v>158</v>
      </c>
    </row>
    <row r="28" spans="1:11" x14ac:dyDescent="0.25">
      <c r="A28" t="s">
        <v>248</v>
      </c>
      <c r="B28" t="s">
        <v>906</v>
      </c>
      <c r="C28" t="s">
        <v>123</v>
      </c>
      <c r="D28">
        <v>0</v>
      </c>
      <c r="E28">
        <v>0</v>
      </c>
      <c r="F28">
        <v>0</v>
      </c>
      <c r="G28" s="8" t="s">
        <v>30</v>
      </c>
      <c r="H28">
        <v>0</v>
      </c>
      <c r="I28">
        <v>0</v>
      </c>
      <c r="J28">
        <v>0</v>
      </c>
      <c r="K28" t="s">
        <v>158</v>
      </c>
    </row>
    <row r="29" spans="1:11" x14ac:dyDescent="0.25">
      <c r="A29" t="s">
        <v>261</v>
      </c>
      <c r="B29" t="s">
        <v>30</v>
      </c>
      <c r="C29" t="s">
        <v>30</v>
      </c>
      <c r="D29">
        <v>94</v>
      </c>
      <c r="E29">
        <v>683</v>
      </c>
      <c r="F29">
        <v>264</v>
      </c>
      <c r="G29" s="8" t="s">
        <v>109</v>
      </c>
      <c r="H29">
        <v>25</v>
      </c>
      <c r="I29">
        <v>9</v>
      </c>
      <c r="J29">
        <v>10</v>
      </c>
      <c r="K29" t="s">
        <v>382</v>
      </c>
    </row>
    <row r="30" spans="1:11" x14ac:dyDescent="0.25">
      <c r="A30" t="s">
        <v>280</v>
      </c>
      <c r="B30" t="s">
        <v>30</v>
      </c>
      <c r="C30" t="s">
        <v>30</v>
      </c>
      <c r="D30">
        <v>33</v>
      </c>
      <c r="E30">
        <v>291</v>
      </c>
      <c r="F30">
        <v>106</v>
      </c>
      <c r="G30" s="8" t="s">
        <v>107</v>
      </c>
      <c r="H30">
        <v>6</v>
      </c>
      <c r="I30">
        <v>3</v>
      </c>
      <c r="J30">
        <v>3</v>
      </c>
      <c r="K30" t="s">
        <v>394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6038-DCC0-4987-8B5A-49C7EF2B9A48}">
  <dimension ref="A1:V30"/>
  <sheetViews>
    <sheetView workbookViewId="0">
      <selection activeCell="O16" sqref="O16"/>
    </sheetView>
  </sheetViews>
  <sheetFormatPr defaultRowHeight="15" x14ac:dyDescent="0.25"/>
  <cols>
    <col min="1" max="1" width="21.85546875" bestFit="1" customWidth="1"/>
    <col min="2" max="2" width="14.5703125" bestFit="1" customWidth="1"/>
    <col min="3" max="3" width="19.28515625" bestFit="1" customWidth="1"/>
    <col min="4" max="4" width="16.5703125" bestFit="1" customWidth="1"/>
    <col min="5" max="6" width="18.85546875" bestFit="1" customWidth="1"/>
    <col min="7" max="7" width="23.140625" bestFit="1" customWidth="1"/>
    <col min="8" max="8" width="19" bestFit="1" customWidth="1"/>
    <col min="9" max="10" width="19.5703125" bestFit="1" customWidth="1"/>
    <col min="11" max="11" width="20.140625" bestFit="1" customWidth="1"/>
    <col min="12" max="12" width="18.140625" bestFit="1" customWidth="1"/>
    <col min="13" max="13" width="21.42578125" bestFit="1" customWidth="1"/>
    <col min="17" max="17" width="20.85546875" customWidth="1"/>
    <col min="18" max="18" width="11.28515625" customWidth="1"/>
    <col min="21" max="21" width="10.28515625" customWidth="1"/>
    <col min="22" max="22" width="9.140625" style="7"/>
  </cols>
  <sheetData>
    <row r="1" spans="1:22" x14ac:dyDescent="0.25">
      <c r="A1" s="9" t="s">
        <v>38</v>
      </c>
      <c r="B1" t="s">
        <v>928</v>
      </c>
    </row>
    <row r="3" spans="1:22" x14ac:dyDescent="0.25">
      <c r="A3" s="9" t="s">
        <v>926</v>
      </c>
      <c r="B3" t="s">
        <v>1044</v>
      </c>
      <c r="C3" t="s">
        <v>1045</v>
      </c>
      <c r="D3" s="32" t="s">
        <v>1057</v>
      </c>
      <c r="E3" t="s">
        <v>1046</v>
      </c>
      <c r="F3" t="s">
        <v>1047</v>
      </c>
      <c r="G3" t="s">
        <v>1048</v>
      </c>
      <c r="H3" t="s">
        <v>1049</v>
      </c>
      <c r="I3" t="s">
        <v>1050</v>
      </c>
      <c r="J3" t="s">
        <v>1051</v>
      </c>
      <c r="K3" t="s">
        <v>1052</v>
      </c>
      <c r="L3" t="s">
        <v>1053</v>
      </c>
      <c r="M3" t="s">
        <v>1054</v>
      </c>
      <c r="Q3" t="s">
        <v>943</v>
      </c>
      <c r="R3">
        <v>24</v>
      </c>
    </row>
    <row r="4" spans="1:22" x14ac:dyDescent="0.25">
      <c r="A4" s="6" t="s">
        <v>75</v>
      </c>
      <c r="B4">
        <v>36</v>
      </c>
      <c r="C4">
        <v>23</v>
      </c>
      <c r="D4" s="32">
        <v>0.63888888888888884</v>
      </c>
      <c r="E4">
        <v>16</v>
      </c>
      <c r="F4">
        <v>10</v>
      </c>
      <c r="G4">
        <v>14</v>
      </c>
      <c r="H4">
        <v>12</v>
      </c>
      <c r="I4">
        <v>13</v>
      </c>
      <c r="J4">
        <v>14</v>
      </c>
      <c r="K4">
        <v>25</v>
      </c>
      <c r="L4">
        <v>68</v>
      </c>
      <c r="M4">
        <v>5</v>
      </c>
      <c r="Q4" t="s">
        <v>1055</v>
      </c>
      <c r="R4" t="s">
        <v>1056</v>
      </c>
      <c r="S4">
        <v>46</v>
      </c>
      <c r="U4" t="s">
        <v>968</v>
      </c>
      <c r="V4" s="7">
        <f>S4/R3</f>
        <v>1.9166666666666667</v>
      </c>
    </row>
    <row r="5" spans="1:22" x14ac:dyDescent="0.25">
      <c r="A5" s="6" t="s">
        <v>110</v>
      </c>
      <c r="B5">
        <v>15</v>
      </c>
      <c r="C5">
        <v>10</v>
      </c>
      <c r="D5" s="32">
        <v>0.66666666666666663</v>
      </c>
      <c r="E5">
        <v>8</v>
      </c>
      <c r="F5">
        <v>4</v>
      </c>
      <c r="G5">
        <v>7</v>
      </c>
      <c r="H5">
        <v>5</v>
      </c>
      <c r="I5">
        <v>8</v>
      </c>
      <c r="J5">
        <v>3</v>
      </c>
      <c r="K5">
        <v>7</v>
      </c>
      <c r="L5">
        <v>55</v>
      </c>
      <c r="M5">
        <v>3</v>
      </c>
      <c r="R5" t="s">
        <v>954</v>
      </c>
      <c r="S5">
        <v>36</v>
      </c>
      <c r="U5" t="s">
        <v>968</v>
      </c>
      <c r="V5" s="7">
        <f>S5/R3</f>
        <v>1.5</v>
      </c>
    </row>
    <row r="6" spans="1:22" x14ac:dyDescent="0.25">
      <c r="A6" s="6" t="s">
        <v>95</v>
      </c>
      <c r="B6">
        <v>32</v>
      </c>
      <c r="C6">
        <v>24</v>
      </c>
      <c r="D6" s="32">
        <v>0.75</v>
      </c>
      <c r="E6">
        <v>10</v>
      </c>
      <c r="F6">
        <v>17</v>
      </c>
      <c r="G6">
        <v>18</v>
      </c>
      <c r="H6">
        <v>20</v>
      </c>
      <c r="I6">
        <v>5</v>
      </c>
      <c r="J6">
        <v>17</v>
      </c>
      <c r="K6">
        <v>16</v>
      </c>
      <c r="L6">
        <v>17</v>
      </c>
      <c r="M6">
        <v>3</v>
      </c>
    </row>
    <row r="7" spans="1:22" x14ac:dyDescent="0.25">
      <c r="A7" s="6" t="s">
        <v>142</v>
      </c>
      <c r="B7">
        <v>9</v>
      </c>
      <c r="C7">
        <v>3</v>
      </c>
      <c r="D7" s="32">
        <v>0.33333333333333331</v>
      </c>
      <c r="E7">
        <v>3</v>
      </c>
      <c r="F7">
        <v>3</v>
      </c>
      <c r="G7">
        <v>6</v>
      </c>
      <c r="H7">
        <v>10</v>
      </c>
      <c r="I7">
        <v>1</v>
      </c>
      <c r="J7">
        <v>8</v>
      </c>
      <c r="K7">
        <v>9</v>
      </c>
      <c r="L7">
        <v>6</v>
      </c>
      <c r="M7">
        <v>1</v>
      </c>
      <c r="Q7" t="s">
        <v>1058</v>
      </c>
      <c r="R7" t="s">
        <v>1056</v>
      </c>
      <c r="S7">
        <v>27</v>
      </c>
      <c r="U7" t="s">
        <v>968</v>
      </c>
      <c r="V7" s="7">
        <f>S7/R3</f>
        <v>1.125</v>
      </c>
    </row>
    <row r="8" spans="1:22" x14ac:dyDescent="0.25">
      <c r="A8" s="6" t="s">
        <v>154</v>
      </c>
      <c r="B8">
        <v>0</v>
      </c>
      <c r="C8">
        <v>0</v>
      </c>
      <c r="D8" s="32" t="e">
        <v>#DIV/0!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1</v>
      </c>
      <c r="L8">
        <v>5</v>
      </c>
      <c r="M8">
        <v>1</v>
      </c>
      <c r="R8" t="s">
        <v>967</v>
      </c>
      <c r="S8">
        <v>24</v>
      </c>
      <c r="U8" t="s">
        <v>968</v>
      </c>
      <c r="V8" s="7">
        <f>S8/R3</f>
        <v>1</v>
      </c>
    </row>
    <row r="9" spans="1:22" x14ac:dyDescent="0.25">
      <c r="A9" s="6" t="s">
        <v>204</v>
      </c>
      <c r="B9">
        <v>17</v>
      </c>
      <c r="C9">
        <v>10</v>
      </c>
      <c r="D9" s="32">
        <v>0.58823529411764708</v>
      </c>
      <c r="E9">
        <v>7</v>
      </c>
      <c r="F9">
        <v>7</v>
      </c>
      <c r="G9">
        <v>14</v>
      </c>
      <c r="H9">
        <v>12</v>
      </c>
      <c r="I9">
        <v>4</v>
      </c>
      <c r="J9">
        <v>9</v>
      </c>
      <c r="K9">
        <v>3</v>
      </c>
      <c r="L9">
        <v>13</v>
      </c>
      <c r="M9">
        <v>1</v>
      </c>
    </row>
    <row r="10" spans="1:22" x14ac:dyDescent="0.25">
      <c r="A10" s="6" t="s">
        <v>226</v>
      </c>
      <c r="B10">
        <v>9</v>
      </c>
      <c r="C10">
        <v>5</v>
      </c>
      <c r="D10" s="32">
        <v>0.55555555555555558</v>
      </c>
      <c r="E10">
        <v>4</v>
      </c>
      <c r="F10">
        <v>2</v>
      </c>
      <c r="G10">
        <v>2</v>
      </c>
      <c r="H10">
        <v>2</v>
      </c>
      <c r="I10">
        <v>2</v>
      </c>
      <c r="J10">
        <v>8</v>
      </c>
      <c r="K10">
        <v>2</v>
      </c>
      <c r="L10">
        <v>4</v>
      </c>
      <c r="M10">
        <v>1</v>
      </c>
      <c r="Q10" t="s">
        <v>1059</v>
      </c>
      <c r="R10" t="s">
        <v>967</v>
      </c>
      <c r="S10" s="23">
        <v>0.75</v>
      </c>
      <c r="U10" t="s">
        <v>968</v>
      </c>
      <c r="V10" s="7">
        <f>32/24</f>
        <v>1.3333333333333333</v>
      </c>
    </row>
    <row r="11" spans="1:22" x14ac:dyDescent="0.25">
      <c r="A11" s="6" t="s">
        <v>221</v>
      </c>
      <c r="B11">
        <v>9</v>
      </c>
      <c r="C11">
        <v>7</v>
      </c>
      <c r="D11" s="32">
        <v>0.77777777777777779</v>
      </c>
      <c r="E11">
        <v>7</v>
      </c>
      <c r="F11">
        <v>2</v>
      </c>
      <c r="G11">
        <v>4</v>
      </c>
      <c r="H11">
        <v>1</v>
      </c>
      <c r="I11">
        <v>2</v>
      </c>
      <c r="J11">
        <v>5</v>
      </c>
      <c r="K11">
        <v>3</v>
      </c>
      <c r="L11">
        <v>20</v>
      </c>
      <c r="M11">
        <v>1</v>
      </c>
    </row>
    <row r="12" spans="1:22" x14ac:dyDescent="0.25">
      <c r="A12" s="6" t="s">
        <v>235</v>
      </c>
      <c r="B12">
        <v>5</v>
      </c>
      <c r="C12">
        <v>2</v>
      </c>
      <c r="D12" s="32">
        <v>0.4</v>
      </c>
      <c r="E12">
        <v>2</v>
      </c>
      <c r="F12">
        <v>2</v>
      </c>
      <c r="G12">
        <v>4</v>
      </c>
      <c r="H12">
        <v>0</v>
      </c>
      <c r="I12">
        <v>2</v>
      </c>
      <c r="J12">
        <v>2</v>
      </c>
      <c r="K12">
        <v>3</v>
      </c>
      <c r="L12">
        <v>14</v>
      </c>
      <c r="M12">
        <v>1</v>
      </c>
      <c r="Q12" t="s">
        <v>1060</v>
      </c>
      <c r="R12" t="s">
        <v>954</v>
      </c>
      <c r="S12">
        <v>16</v>
      </c>
      <c r="U12" t="s">
        <v>968</v>
      </c>
      <c r="V12" s="7">
        <f>S12/R3</f>
        <v>0.66666666666666663</v>
      </c>
    </row>
    <row r="13" spans="1:22" x14ac:dyDescent="0.25">
      <c r="A13" s="6" t="s">
        <v>133</v>
      </c>
      <c r="B13">
        <v>25</v>
      </c>
      <c r="C13">
        <v>15</v>
      </c>
      <c r="D13" s="32">
        <v>0.6</v>
      </c>
      <c r="E13">
        <v>11</v>
      </c>
      <c r="F13">
        <v>10</v>
      </c>
      <c r="G13">
        <v>10</v>
      </c>
      <c r="H13">
        <v>5</v>
      </c>
      <c r="I13">
        <v>4</v>
      </c>
      <c r="J13">
        <v>16</v>
      </c>
      <c r="K13">
        <v>11</v>
      </c>
      <c r="L13">
        <v>31</v>
      </c>
      <c r="M13">
        <v>1</v>
      </c>
      <c r="Q13" t="s">
        <v>1061</v>
      </c>
      <c r="R13" t="s">
        <v>1056</v>
      </c>
      <c r="S13">
        <v>26</v>
      </c>
      <c r="U13" t="s">
        <v>968</v>
      </c>
      <c r="V13" s="7">
        <f>S13/R3</f>
        <v>1.0833333333333333</v>
      </c>
    </row>
    <row r="14" spans="1:22" x14ac:dyDescent="0.25">
      <c r="A14" s="6" t="s">
        <v>179</v>
      </c>
      <c r="B14">
        <v>9</v>
      </c>
      <c r="C14">
        <v>5</v>
      </c>
      <c r="D14" s="32">
        <v>0.55555555555555558</v>
      </c>
      <c r="E14">
        <v>3</v>
      </c>
      <c r="F14">
        <v>5</v>
      </c>
      <c r="G14">
        <v>3</v>
      </c>
      <c r="H14">
        <v>3</v>
      </c>
      <c r="I14">
        <v>10</v>
      </c>
      <c r="J14">
        <v>1</v>
      </c>
      <c r="K14">
        <v>14</v>
      </c>
      <c r="L14">
        <v>33</v>
      </c>
      <c r="M14">
        <v>1</v>
      </c>
    </row>
    <row r="15" spans="1:22" x14ac:dyDescent="0.25">
      <c r="A15" s="6" t="s">
        <v>169</v>
      </c>
      <c r="B15">
        <v>16</v>
      </c>
      <c r="C15">
        <v>10</v>
      </c>
      <c r="D15" s="32">
        <v>0.625</v>
      </c>
      <c r="E15">
        <v>3</v>
      </c>
      <c r="F15">
        <v>8</v>
      </c>
      <c r="G15">
        <v>3</v>
      </c>
      <c r="H15">
        <v>7</v>
      </c>
      <c r="I15">
        <v>2</v>
      </c>
      <c r="J15">
        <v>7</v>
      </c>
      <c r="K15">
        <v>4</v>
      </c>
      <c r="L15">
        <v>5</v>
      </c>
      <c r="M15">
        <v>1</v>
      </c>
      <c r="Q15" t="s">
        <v>1062</v>
      </c>
      <c r="R15" t="s">
        <v>1056</v>
      </c>
      <c r="S15">
        <v>22</v>
      </c>
      <c r="U15" t="s">
        <v>968</v>
      </c>
      <c r="V15" s="7">
        <f>S15/R3</f>
        <v>0.91666666666666663</v>
      </c>
    </row>
    <row r="16" spans="1:22" x14ac:dyDescent="0.25">
      <c r="A16" s="6" t="s">
        <v>211</v>
      </c>
      <c r="B16">
        <v>0</v>
      </c>
      <c r="C16">
        <v>0</v>
      </c>
      <c r="D16" s="32" t="e">
        <v>#DIV/0!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8</v>
      </c>
      <c r="M16">
        <v>1</v>
      </c>
      <c r="R16" t="s">
        <v>967</v>
      </c>
      <c r="S16">
        <v>18</v>
      </c>
      <c r="U16" t="s">
        <v>968</v>
      </c>
      <c r="V16" s="7">
        <f>S16/R3</f>
        <v>0.75</v>
      </c>
    </row>
    <row r="17" spans="1:22" x14ac:dyDescent="0.25">
      <c r="A17" s="6" t="s">
        <v>245</v>
      </c>
      <c r="B17">
        <v>0</v>
      </c>
      <c r="C17">
        <v>0</v>
      </c>
      <c r="D17" s="32" t="e">
        <v>#DIV/0!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</row>
    <row r="18" spans="1:22" x14ac:dyDescent="0.25">
      <c r="A18" s="6" t="s">
        <v>183</v>
      </c>
      <c r="B18">
        <v>9</v>
      </c>
      <c r="C18">
        <v>4</v>
      </c>
      <c r="D18" s="32">
        <v>0.44444444444444442</v>
      </c>
      <c r="E18">
        <v>4</v>
      </c>
      <c r="F18">
        <v>2</v>
      </c>
      <c r="G18">
        <v>3</v>
      </c>
      <c r="H18">
        <v>11</v>
      </c>
      <c r="I18">
        <v>0</v>
      </c>
      <c r="J18">
        <v>6</v>
      </c>
      <c r="K18">
        <v>5</v>
      </c>
      <c r="L18">
        <v>9</v>
      </c>
      <c r="M18">
        <v>1</v>
      </c>
      <c r="Q18" t="s">
        <v>1063</v>
      </c>
      <c r="R18" t="s">
        <v>1056</v>
      </c>
      <c r="S18">
        <v>26</v>
      </c>
      <c r="U18" t="s">
        <v>968</v>
      </c>
      <c r="V18" s="7">
        <f>S18/R3</f>
        <v>1.0833333333333333</v>
      </c>
    </row>
    <row r="19" spans="1:22" x14ac:dyDescent="0.25">
      <c r="A19" s="6" t="s">
        <v>242</v>
      </c>
      <c r="B19">
        <v>2</v>
      </c>
      <c r="C19">
        <v>1</v>
      </c>
      <c r="D19" s="32">
        <v>0.5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</row>
    <row r="20" spans="1:22" x14ac:dyDescent="0.25">
      <c r="A20" s="6" t="s">
        <v>122</v>
      </c>
      <c r="B20">
        <v>46</v>
      </c>
      <c r="C20">
        <v>27</v>
      </c>
      <c r="D20" s="32">
        <v>0.58695652173913049</v>
      </c>
      <c r="E20">
        <v>13</v>
      </c>
      <c r="F20">
        <v>26</v>
      </c>
      <c r="G20">
        <v>22</v>
      </c>
      <c r="H20">
        <v>26</v>
      </c>
      <c r="I20">
        <v>0</v>
      </c>
      <c r="J20">
        <v>15</v>
      </c>
      <c r="K20">
        <v>13</v>
      </c>
      <c r="L20">
        <v>16</v>
      </c>
      <c r="M20">
        <v>0</v>
      </c>
      <c r="Q20" t="s">
        <v>1064</v>
      </c>
      <c r="R20" t="s">
        <v>954</v>
      </c>
      <c r="S20">
        <v>13</v>
      </c>
      <c r="U20" t="s">
        <v>968</v>
      </c>
      <c r="V20" s="7">
        <f>S20/R3</f>
        <v>0.54166666666666663</v>
      </c>
    </row>
    <row r="21" spans="1:22" x14ac:dyDescent="0.25">
      <c r="A21" s="6" t="s">
        <v>241</v>
      </c>
      <c r="B21">
        <v>1</v>
      </c>
      <c r="C21">
        <v>0</v>
      </c>
      <c r="D21" s="32">
        <v>0</v>
      </c>
      <c r="E21">
        <v>1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2</v>
      </c>
      <c r="M21">
        <v>0</v>
      </c>
      <c r="Q21" t="s">
        <v>1065</v>
      </c>
      <c r="R21" t="s">
        <v>967</v>
      </c>
      <c r="S21">
        <v>17</v>
      </c>
      <c r="U21" t="s">
        <v>968</v>
      </c>
      <c r="V21" s="7">
        <f>S21/R3</f>
        <v>0.70833333333333337</v>
      </c>
    </row>
    <row r="22" spans="1:22" x14ac:dyDescent="0.25">
      <c r="A22" s="6" t="s">
        <v>196</v>
      </c>
      <c r="B22">
        <v>25</v>
      </c>
      <c r="C22">
        <v>16</v>
      </c>
      <c r="D22" s="32">
        <v>0.64</v>
      </c>
      <c r="E22">
        <v>10</v>
      </c>
      <c r="F22">
        <v>9</v>
      </c>
      <c r="G22">
        <v>12</v>
      </c>
      <c r="H22">
        <v>11</v>
      </c>
      <c r="I22">
        <v>3</v>
      </c>
      <c r="J22">
        <v>8</v>
      </c>
      <c r="K22">
        <v>9</v>
      </c>
      <c r="L22">
        <v>21</v>
      </c>
      <c r="M22">
        <v>0</v>
      </c>
      <c r="R22" t="s">
        <v>1066</v>
      </c>
      <c r="S22">
        <v>16</v>
      </c>
      <c r="U22" t="s">
        <v>968</v>
      </c>
      <c r="V22" s="7">
        <f>S22/R3</f>
        <v>0.66666666666666663</v>
      </c>
    </row>
    <row r="23" spans="1:22" x14ac:dyDescent="0.25">
      <c r="A23" s="6" t="s">
        <v>161</v>
      </c>
      <c r="B23">
        <v>17</v>
      </c>
      <c r="C23">
        <v>10</v>
      </c>
      <c r="D23" s="32">
        <v>0.58823529411764708</v>
      </c>
      <c r="E23">
        <v>4</v>
      </c>
      <c r="F23">
        <v>9</v>
      </c>
      <c r="G23">
        <v>9</v>
      </c>
      <c r="H23">
        <v>11</v>
      </c>
      <c r="I23">
        <v>0</v>
      </c>
      <c r="J23">
        <v>8</v>
      </c>
      <c r="K23">
        <v>12</v>
      </c>
      <c r="L23">
        <v>15</v>
      </c>
      <c r="M23">
        <v>0</v>
      </c>
    </row>
    <row r="24" spans="1:22" x14ac:dyDescent="0.25">
      <c r="A24" s="6" t="s">
        <v>213</v>
      </c>
      <c r="B24">
        <v>20</v>
      </c>
      <c r="C24">
        <v>12</v>
      </c>
      <c r="D24" s="32">
        <v>0.6</v>
      </c>
      <c r="E24">
        <v>8</v>
      </c>
      <c r="F24">
        <v>7</v>
      </c>
      <c r="G24">
        <v>5</v>
      </c>
      <c r="H24">
        <v>3</v>
      </c>
      <c r="I24">
        <v>1</v>
      </c>
      <c r="J24">
        <v>5</v>
      </c>
      <c r="K24">
        <v>2</v>
      </c>
      <c r="L24">
        <v>2</v>
      </c>
      <c r="M24">
        <v>0</v>
      </c>
      <c r="Q24" t="s">
        <v>1067</v>
      </c>
      <c r="R24" t="s">
        <v>954</v>
      </c>
      <c r="S24">
        <v>25</v>
      </c>
      <c r="U24" t="s">
        <v>968</v>
      </c>
      <c r="V24" s="7">
        <f>S24/R3</f>
        <v>1.0416666666666667</v>
      </c>
    </row>
    <row r="25" spans="1:22" x14ac:dyDescent="0.25">
      <c r="A25" s="6" t="s">
        <v>251</v>
      </c>
      <c r="B25">
        <v>0</v>
      </c>
      <c r="C25">
        <v>0</v>
      </c>
      <c r="D25" s="32" t="e">
        <v>#DIV/0!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22" x14ac:dyDescent="0.25">
      <c r="A26" s="6" t="s">
        <v>253</v>
      </c>
      <c r="B26">
        <v>1</v>
      </c>
      <c r="C26">
        <v>0</v>
      </c>
      <c r="D26" s="32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Q26" t="s">
        <v>1068</v>
      </c>
      <c r="R26" t="s">
        <v>954</v>
      </c>
      <c r="S26">
        <v>68</v>
      </c>
      <c r="U26" t="s">
        <v>968</v>
      </c>
      <c r="V26" s="7">
        <f>S26/R3</f>
        <v>2.8333333333333335</v>
      </c>
    </row>
    <row r="27" spans="1:22" x14ac:dyDescent="0.25">
      <c r="A27" s="6" t="s">
        <v>248</v>
      </c>
      <c r="B27">
        <v>2</v>
      </c>
      <c r="C27">
        <v>1</v>
      </c>
      <c r="D27" s="32">
        <v>0.5</v>
      </c>
      <c r="E27">
        <v>0</v>
      </c>
      <c r="F27">
        <v>2</v>
      </c>
      <c r="G27">
        <v>0</v>
      </c>
      <c r="H27">
        <v>2</v>
      </c>
      <c r="I27">
        <v>0</v>
      </c>
      <c r="J27">
        <v>4</v>
      </c>
      <c r="K27">
        <v>1</v>
      </c>
      <c r="L27">
        <v>0</v>
      </c>
      <c r="M27">
        <v>0</v>
      </c>
    </row>
    <row r="28" spans="1:22" x14ac:dyDescent="0.25">
      <c r="A28" s="6" t="s">
        <v>238</v>
      </c>
      <c r="B28">
        <v>3</v>
      </c>
      <c r="C28">
        <v>2</v>
      </c>
      <c r="D28" s="32">
        <v>0.66666666666666663</v>
      </c>
      <c r="E28">
        <v>2</v>
      </c>
      <c r="F28">
        <v>0</v>
      </c>
      <c r="G28">
        <v>3</v>
      </c>
      <c r="H28">
        <v>1</v>
      </c>
      <c r="I28">
        <v>0</v>
      </c>
      <c r="J28">
        <v>4</v>
      </c>
      <c r="K28">
        <v>0</v>
      </c>
      <c r="L28">
        <v>0</v>
      </c>
      <c r="M28">
        <v>0</v>
      </c>
      <c r="Q28" t="s">
        <v>1069</v>
      </c>
      <c r="R28" t="s">
        <v>954</v>
      </c>
      <c r="S28">
        <v>5</v>
      </c>
      <c r="U28" t="s">
        <v>968</v>
      </c>
      <c r="V28" s="7">
        <f>S28/R3</f>
        <v>0.20833333333333334</v>
      </c>
    </row>
    <row r="29" spans="1:22" x14ac:dyDescent="0.25">
      <c r="A29" s="6" t="s">
        <v>50</v>
      </c>
      <c r="B29">
        <v>7</v>
      </c>
      <c r="C29">
        <v>4</v>
      </c>
      <c r="D29" s="32">
        <v>0.5714285714285714</v>
      </c>
      <c r="E29">
        <v>2</v>
      </c>
      <c r="F29">
        <v>2</v>
      </c>
      <c r="G29">
        <v>1</v>
      </c>
      <c r="H29">
        <v>4</v>
      </c>
      <c r="I29">
        <v>1</v>
      </c>
      <c r="J29">
        <v>6</v>
      </c>
      <c r="K29">
        <v>4</v>
      </c>
      <c r="L29">
        <v>21</v>
      </c>
      <c r="M29">
        <v>0</v>
      </c>
    </row>
    <row r="30" spans="1:22" x14ac:dyDescent="0.25">
      <c r="A30" s="6" t="s">
        <v>927</v>
      </c>
      <c r="B30">
        <v>315</v>
      </c>
      <c r="C30">
        <v>191</v>
      </c>
      <c r="D30" s="32">
        <v>0.6063492063492063</v>
      </c>
      <c r="E30">
        <v>119</v>
      </c>
      <c r="F30">
        <v>129</v>
      </c>
      <c r="G30">
        <v>140</v>
      </c>
      <c r="H30">
        <v>150</v>
      </c>
      <c r="I30">
        <v>60</v>
      </c>
      <c r="J30">
        <v>147</v>
      </c>
      <c r="K30">
        <v>145</v>
      </c>
      <c r="L30">
        <v>367</v>
      </c>
      <c r="M30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BB0E-2BD2-41E8-8F5E-D4EAC4C69E14}">
  <dimension ref="A1:O31"/>
  <sheetViews>
    <sheetView topLeftCell="E1" workbookViewId="0">
      <selection activeCell="N30" sqref="N30"/>
    </sheetView>
  </sheetViews>
  <sheetFormatPr defaultRowHeight="15" x14ac:dyDescent="0.25"/>
  <cols>
    <col min="1" max="1" width="21.85546875" bestFit="1" customWidth="1"/>
    <col min="2" max="4" width="11.42578125" bestFit="1" customWidth="1"/>
    <col min="5" max="5" width="11.85546875" customWidth="1"/>
    <col min="6" max="7" width="11.42578125" bestFit="1" customWidth="1"/>
    <col min="8" max="8" width="15.28515625" customWidth="1"/>
    <col min="9" max="14" width="12.42578125" bestFit="1" customWidth="1"/>
    <col min="15" max="15" width="14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19</v>
      </c>
      <c r="O1" t="s">
        <v>20</v>
      </c>
    </row>
    <row r="2" spans="1:15" x14ac:dyDescent="0.25">
      <c r="M2" t="s">
        <v>30</v>
      </c>
      <c r="N2" t="s">
        <v>30</v>
      </c>
      <c r="O2" t="s">
        <v>30</v>
      </c>
    </row>
    <row r="3" spans="1:15" x14ac:dyDescent="0.25">
      <c r="A3" t="s">
        <v>36</v>
      </c>
      <c r="B3" t="s">
        <v>37</v>
      </c>
      <c r="C3" t="s">
        <v>38</v>
      </c>
      <c r="D3" t="s">
        <v>540</v>
      </c>
      <c r="E3" t="s">
        <v>1034</v>
      </c>
      <c r="F3" t="s">
        <v>1035</v>
      </c>
      <c r="G3" t="s">
        <v>1036</v>
      </c>
      <c r="H3" t="s">
        <v>1037</v>
      </c>
      <c r="I3" t="s">
        <v>1038</v>
      </c>
      <c r="J3" t="s">
        <v>541</v>
      </c>
      <c r="K3" t="s">
        <v>1039</v>
      </c>
      <c r="L3" t="s">
        <v>1040</v>
      </c>
      <c r="M3" t="s">
        <v>1041</v>
      </c>
      <c r="N3" t="s">
        <v>1042</v>
      </c>
      <c r="O3" t="s">
        <v>1043</v>
      </c>
    </row>
    <row r="4" spans="1:15" x14ac:dyDescent="0.25">
      <c r="A4" t="s">
        <v>50</v>
      </c>
      <c r="B4" t="s">
        <v>902</v>
      </c>
      <c r="C4" t="s">
        <v>52</v>
      </c>
      <c r="D4">
        <v>7</v>
      </c>
      <c r="E4">
        <v>4</v>
      </c>
      <c r="F4">
        <v>2</v>
      </c>
      <c r="G4">
        <v>2</v>
      </c>
      <c r="H4">
        <v>1</v>
      </c>
      <c r="I4">
        <v>4</v>
      </c>
      <c r="J4">
        <v>7</v>
      </c>
      <c r="K4">
        <v>1</v>
      </c>
      <c r="L4">
        <v>6</v>
      </c>
      <c r="M4">
        <v>4</v>
      </c>
      <c r="N4">
        <v>21</v>
      </c>
      <c r="O4">
        <v>0</v>
      </c>
    </row>
    <row r="5" spans="1:15" x14ac:dyDescent="0.25">
      <c r="A5" t="s">
        <v>75</v>
      </c>
      <c r="B5" t="s">
        <v>903</v>
      </c>
      <c r="C5" t="s">
        <v>77</v>
      </c>
      <c r="D5">
        <v>36</v>
      </c>
      <c r="E5">
        <v>23</v>
      </c>
      <c r="F5">
        <v>16</v>
      </c>
      <c r="G5">
        <v>10</v>
      </c>
      <c r="H5">
        <v>14</v>
      </c>
      <c r="I5">
        <v>12</v>
      </c>
      <c r="J5">
        <v>27</v>
      </c>
      <c r="K5">
        <v>13</v>
      </c>
      <c r="L5">
        <v>14</v>
      </c>
      <c r="M5">
        <v>25</v>
      </c>
      <c r="N5">
        <v>68</v>
      </c>
      <c r="O5">
        <v>5</v>
      </c>
    </row>
    <row r="6" spans="1:15" x14ac:dyDescent="0.25">
      <c r="A6" t="s">
        <v>95</v>
      </c>
      <c r="B6" t="s">
        <v>904</v>
      </c>
      <c r="C6" t="s">
        <v>97</v>
      </c>
      <c r="D6">
        <v>32</v>
      </c>
      <c r="E6">
        <v>24</v>
      </c>
      <c r="F6">
        <v>10</v>
      </c>
      <c r="G6">
        <v>17</v>
      </c>
      <c r="H6">
        <v>18</v>
      </c>
      <c r="I6">
        <v>20</v>
      </c>
      <c r="J6">
        <v>22</v>
      </c>
      <c r="K6">
        <v>5</v>
      </c>
      <c r="L6">
        <v>17</v>
      </c>
      <c r="M6">
        <v>16</v>
      </c>
      <c r="N6">
        <v>17</v>
      </c>
      <c r="O6">
        <v>3</v>
      </c>
    </row>
    <row r="7" spans="1:15" x14ac:dyDescent="0.25">
      <c r="A7" t="s">
        <v>110</v>
      </c>
      <c r="B7" t="s">
        <v>905</v>
      </c>
      <c r="C7" t="s">
        <v>77</v>
      </c>
      <c r="D7">
        <v>15</v>
      </c>
      <c r="E7">
        <v>10</v>
      </c>
      <c r="F7">
        <v>8</v>
      </c>
      <c r="G7">
        <v>4</v>
      </c>
      <c r="H7">
        <v>7</v>
      </c>
      <c r="I7">
        <v>5</v>
      </c>
      <c r="J7">
        <v>11</v>
      </c>
      <c r="K7">
        <v>8</v>
      </c>
      <c r="L7">
        <v>3</v>
      </c>
      <c r="M7">
        <v>7</v>
      </c>
      <c r="N7">
        <v>55</v>
      </c>
      <c r="O7">
        <v>3</v>
      </c>
    </row>
    <row r="8" spans="1:15" x14ac:dyDescent="0.25">
      <c r="A8" t="s">
        <v>122</v>
      </c>
      <c r="B8" t="s">
        <v>903</v>
      </c>
      <c r="C8" t="s">
        <v>123</v>
      </c>
      <c r="D8">
        <v>46</v>
      </c>
      <c r="E8">
        <v>27</v>
      </c>
      <c r="F8">
        <v>13</v>
      </c>
      <c r="G8">
        <v>26</v>
      </c>
      <c r="H8">
        <v>22</v>
      </c>
      <c r="I8">
        <v>26</v>
      </c>
      <c r="J8">
        <v>15</v>
      </c>
      <c r="K8">
        <v>0</v>
      </c>
      <c r="L8">
        <v>15</v>
      </c>
      <c r="M8">
        <v>13</v>
      </c>
      <c r="N8">
        <v>16</v>
      </c>
      <c r="O8">
        <v>0</v>
      </c>
    </row>
    <row r="9" spans="1:15" x14ac:dyDescent="0.25">
      <c r="A9" t="s">
        <v>133</v>
      </c>
      <c r="B9" t="s">
        <v>906</v>
      </c>
      <c r="C9" t="s">
        <v>135</v>
      </c>
      <c r="D9">
        <v>25</v>
      </c>
      <c r="E9">
        <v>15</v>
      </c>
      <c r="F9">
        <v>11</v>
      </c>
      <c r="G9">
        <v>10</v>
      </c>
      <c r="H9">
        <v>10</v>
      </c>
      <c r="I9">
        <v>5</v>
      </c>
      <c r="J9">
        <v>20</v>
      </c>
      <c r="K9">
        <v>4</v>
      </c>
      <c r="L9">
        <v>16</v>
      </c>
      <c r="M9">
        <v>11</v>
      </c>
      <c r="N9">
        <v>31</v>
      </c>
      <c r="O9">
        <v>1</v>
      </c>
    </row>
    <row r="10" spans="1:15" x14ac:dyDescent="0.25">
      <c r="A10" t="s">
        <v>142</v>
      </c>
      <c r="B10" t="s">
        <v>906</v>
      </c>
      <c r="C10" t="s">
        <v>97</v>
      </c>
      <c r="D10">
        <v>9</v>
      </c>
      <c r="E10">
        <v>3</v>
      </c>
      <c r="F10">
        <v>3</v>
      </c>
      <c r="G10">
        <v>3</v>
      </c>
      <c r="H10">
        <v>6</v>
      </c>
      <c r="I10">
        <v>10</v>
      </c>
      <c r="J10">
        <v>9</v>
      </c>
      <c r="K10">
        <v>1</v>
      </c>
      <c r="L10">
        <v>8</v>
      </c>
      <c r="M10">
        <v>9</v>
      </c>
      <c r="N10">
        <v>6</v>
      </c>
      <c r="O10">
        <v>1</v>
      </c>
    </row>
    <row r="11" spans="1:15" x14ac:dyDescent="0.25">
      <c r="A11" t="s">
        <v>154</v>
      </c>
      <c r="B11" t="s">
        <v>907</v>
      </c>
      <c r="C11" t="s">
        <v>156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1</v>
      </c>
      <c r="N11">
        <v>5</v>
      </c>
      <c r="O11">
        <v>1</v>
      </c>
    </row>
    <row r="12" spans="1:15" x14ac:dyDescent="0.25">
      <c r="A12" t="s">
        <v>161</v>
      </c>
      <c r="B12" t="s">
        <v>908</v>
      </c>
      <c r="C12" t="s">
        <v>123</v>
      </c>
      <c r="D12">
        <v>17</v>
      </c>
      <c r="E12">
        <v>10</v>
      </c>
      <c r="F12">
        <v>4</v>
      </c>
      <c r="G12">
        <v>9</v>
      </c>
      <c r="H12">
        <v>9</v>
      </c>
      <c r="I12">
        <v>11</v>
      </c>
      <c r="J12">
        <v>8</v>
      </c>
      <c r="K12">
        <v>0</v>
      </c>
      <c r="L12">
        <v>8</v>
      </c>
      <c r="M12">
        <v>12</v>
      </c>
      <c r="N12">
        <v>15</v>
      </c>
      <c r="O12">
        <v>0</v>
      </c>
    </row>
    <row r="13" spans="1:15" x14ac:dyDescent="0.25">
      <c r="A13" t="s">
        <v>169</v>
      </c>
      <c r="B13" t="s">
        <v>907</v>
      </c>
      <c r="C13" t="s">
        <v>170</v>
      </c>
      <c r="D13">
        <v>16</v>
      </c>
      <c r="E13">
        <v>10</v>
      </c>
      <c r="F13">
        <v>3</v>
      </c>
      <c r="G13">
        <v>8</v>
      </c>
      <c r="H13">
        <v>3</v>
      </c>
      <c r="I13">
        <v>7</v>
      </c>
      <c r="J13">
        <v>9</v>
      </c>
      <c r="K13">
        <v>2</v>
      </c>
      <c r="L13">
        <v>7</v>
      </c>
      <c r="M13">
        <v>4</v>
      </c>
      <c r="N13">
        <v>5</v>
      </c>
      <c r="O13">
        <v>1</v>
      </c>
    </row>
    <row r="14" spans="1:15" x14ac:dyDescent="0.25">
      <c r="A14" t="s">
        <v>179</v>
      </c>
      <c r="B14" t="s">
        <v>904</v>
      </c>
      <c r="C14" t="s">
        <v>77</v>
      </c>
      <c r="D14">
        <v>9</v>
      </c>
      <c r="E14">
        <v>5</v>
      </c>
      <c r="F14">
        <v>3</v>
      </c>
      <c r="G14">
        <v>5</v>
      </c>
      <c r="H14">
        <v>3</v>
      </c>
      <c r="I14">
        <v>3</v>
      </c>
      <c r="J14">
        <v>11</v>
      </c>
      <c r="K14">
        <v>10</v>
      </c>
      <c r="L14">
        <v>1</v>
      </c>
      <c r="M14">
        <v>14</v>
      </c>
      <c r="N14">
        <v>33</v>
      </c>
      <c r="O14">
        <v>1</v>
      </c>
    </row>
    <row r="15" spans="1:15" x14ac:dyDescent="0.25">
      <c r="A15" t="s">
        <v>183</v>
      </c>
      <c r="B15" t="s">
        <v>909</v>
      </c>
      <c r="C15" t="s">
        <v>123</v>
      </c>
      <c r="D15">
        <v>9</v>
      </c>
      <c r="E15">
        <v>4</v>
      </c>
      <c r="F15">
        <v>4</v>
      </c>
      <c r="G15">
        <v>2</v>
      </c>
      <c r="H15">
        <v>3</v>
      </c>
      <c r="I15">
        <v>11</v>
      </c>
      <c r="J15">
        <v>6</v>
      </c>
      <c r="K15">
        <v>0</v>
      </c>
      <c r="L15">
        <v>6</v>
      </c>
      <c r="M15">
        <v>5</v>
      </c>
      <c r="N15">
        <v>9</v>
      </c>
      <c r="O15">
        <v>1</v>
      </c>
    </row>
    <row r="16" spans="1:15" x14ac:dyDescent="0.25">
      <c r="A16" t="s">
        <v>196</v>
      </c>
      <c r="B16" t="s">
        <v>904</v>
      </c>
      <c r="C16" t="s">
        <v>135</v>
      </c>
      <c r="D16">
        <v>25</v>
      </c>
      <c r="E16">
        <v>16</v>
      </c>
      <c r="F16">
        <v>10</v>
      </c>
      <c r="G16">
        <v>9</v>
      </c>
      <c r="H16">
        <v>12</v>
      </c>
      <c r="I16">
        <v>11</v>
      </c>
      <c r="J16">
        <v>11</v>
      </c>
      <c r="K16">
        <v>3</v>
      </c>
      <c r="L16">
        <v>8</v>
      </c>
      <c r="M16">
        <v>9</v>
      </c>
      <c r="N16">
        <v>21</v>
      </c>
      <c r="O16">
        <v>0</v>
      </c>
    </row>
    <row r="17" spans="1:15" x14ac:dyDescent="0.25">
      <c r="A17" t="s">
        <v>204</v>
      </c>
      <c r="B17" t="s">
        <v>906</v>
      </c>
      <c r="C17" t="s">
        <v>77</v>
      </c>
      <c r="D17">
        <v>17</v>
      </c>
      <c r="E17">
        <v>10</v>
      </c>
      <c r="F17">
        <v>7</v>
      </c>
      <c r="G17">
        <v>7</v>
      </c>
      <c r="H17">
        <v>14</v>
      </c>
      <c r="I17">
        <v>12</v>
      </c>
      <c r="J17">
        <v>13</v>
      </c>
      <c r="K17">
        <v>4</v>
      </c>
      <c r="L17">
        <v>9</v>
      </c>
      <c r="M17">
        <v>3</v>
      </c>
      <c r="N17">
        <v>13</v>
      </c>
      <c r="O17">
        <v>1</v>
      </c>
    </row>
    <row r="18" spans="1:15" x14ac:dyDescent="0.25">
      <c r="A18" t="s">
        <v>211</v>
      </c>
      <c r="B18" t="s">
        <v>908</v>
      </c>
      <c r="C18" t="s">
        <v>156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8</v>
      </c>
      <c r="O18">
        <v>1</v>
      </c>
    </row>
    <row r="19" spans="1:15" x14ac:dyDescent="0.25">
      <c r="A19" t="s">
        <v>213</v>
      </c>
      <c r="B19" t="s">
        <v>909</v>
      </c>
      <c r="C19" t="s">
        <v>170</v>
      </c>
      <c r="D19">
        <v>20</v>
      </c>
      <c r="E19">
        <v>12</v>
      </c>
      <c r="F19">
        <v>8</v>
      </c>
      <c r="G19">
        <v>7</v>
      </c>
      <c r="H19">
        <v>5</v>
      </c>
      <c r="I19">
        <v>3</v>
      </c>
      <c r="J19">
        <v>6</v>
      </c>
      <c r="K19">
        <v>1</v>
      </c>
      <c r="L19">
        <v>5</v>
      </c>
      <c r="M19">
        <v>2</v>
      </c>
      <c r="N19">
        <v>2</v>
      </c>
      <c r="O19">
        <v>0</v>
      </c>
    </row>
    <row r="20" spans="1:15" x14ac:dyDescent="0.25">
      <c r="A20" t="s">
        <v>221</v>
      </c>
      <c r="B20" t="s">
        <v>910</v>
      </c>
      <c r="C20" t="s">
        <v>77</v>
      </c>
      <c r="D20">
        <v>9</v>
      </c>
      <c r="E20">
        <v>7</v>
      </c>
      <c r="F20">
        <v>7</v>
      </c>
      <c r="G20">
        <v>2</v>
      </c>
      <c r="H20">
        <v>4</v>
      </c>
      <c r="I20">
        <v>1</v>
      </c>
      <c r="J20">
        <v>7</v>
      </c>
      <c r="K20">
        <v>2</v>
      </c>
      <c r="L20">
        <v>5</v>
      </c>
      <c r="M20">
        <v>3</v>
      </c>
      <c r="N20">
        <v>20</v>
      </c>
      <c r="O20">
        <v>1</v>
      </c>
    </row>
    <row r="21" spans="1:15" x14ac:dyDescent="0.25">
      <c r="A21" t="s">
        <v>226</v>
      </c>
      <c r="B21" t="s">
        <v>906</v>
      </c>
      <c r="C21" t="s">
        <v>170</v>
      </c>
      <c r="D21">
        <v>9</v>
      </c>
      <c r="E21">
        <v>5</v>
      </c>
      <c r="F21">
        <v>4</v>
      </c>
      <c r="G21">
        <v>2</v>
      </c>
      <c r="H21">
        <v>2</v>
      </c>
      <c r="I21">
        <v>2</v>
      </c>
      <c r="J21">
        <v>10</v>
      </c>
      <c r="K21">
        <v>2</v>
      </c>
      <c r="L21">
        <v>8</v>
      </c>
      <c r="M21">
        <v>2</v>
      </c>
      <c r="N21">
        <v>4</v>
      </c>
      <c r="O21">
        <v>1</v>
      </c>
    </row>
    <row r="22" spans="1:15" x14ac:dyDescent="0.25">
      <c r="A22" t="s">
        <v>235</v>
      </c>
      <c r="B22" t="s">
        <v>906</v>
      </c>
      <c r="C22" t="s">
        <v>135</v>
      </c>
      <c r="D22">
        <v>5</v>
      </c>
      <c r="E22">
        <v>2</v>
      </c>
      <c r="F22">
        <v>2</v>
      </c>
      <c r="G22">
        <v>2</v>
      </c>
      <c r="H22">
        <v>4</v>
      </c>
      <c r="I22">
        <v>0</v>
      </c>
      <c r="J22">
        <v>4</v>
      </c>
      <c r="K22">
        <v>2</v>
      </c>
      <c r="L22">
        <v>2</v>
      </c>
      <c r="M22">
        <v>3</v>
      </c>
      <c r="N22">
        <v>14</v>
      </c>
      <c r="O22">
        <v>1</v>
      </c>
    </row>
    <row r="23" spans="1:15" x14ac:dyDescent="0.25">
      <c r="A23" t="s">
        <v>238</v>
      </c>
      <c r="B23" t="s">
        <v>911</v>
      </c>
      <c r="C23" t="s">
        <v>170</v>
      </c>
      <c r="D23">
        <v>3</v>
      </c>
      <c r="E23">
        <v>2</v>
      </c>
      <c r="F23">
        <v>2</v>
      </c>
      <c r="G23">
        <v>0</v>
      </c>
      <c r="H23">
        <v>3</v>
      </c>
      <c r="I23">
        <v>1</v>
      </c>
      <c r="J23">
        <v>4</v>
      </c>
      <c r="K23">
        <v>0</v>
      </c>
      <c r="L23">
        <v>4</v>
      </c>
      <c r="M23">
        <v>0</v>
      </c>
      <c r="N23">
        <v>0</v>
      </c>
      <c r="O23">
        <v>0</v>
      </c>
    </row>
    <row r="24" spans="1:15" x14ac:dyDescent="0.25">
      <c r="A24" t="s">
        <v>241</v>
      </c>
      <c r="B24" t="s">
        <v>906</v>
      </c>
      <c r="C24" t="s">
        <v>77</v>
      </c>
      <c r="D24">
        <v>1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2</v>
      </c>
      <c r="O24">
        <v>0</v>
      </c>
    </row>
    <row r="25" spans="1:15" x14ac:dyDescent="0.25">
      <c r="A25" t="s">
        <v>242</v>
      </c>
      <c r="B25" t="s">
        <v>912</v>
      </c>
      <c r="C25" t="s">
        <v>123</v>
      </c>
      <c r="D25">
        <v>2</v>
      </c>
      <c r="E25">
        <v>1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0</v>
      </c>
    </row>
    <row r="26" spans="1:15" x14ac:dyDescent="0.25">
      <c r="A26" t="s">
        <v>245</v>
      </c>
      <c r="B26" t="s">
        <v>913</v>
      </c>
      <c r="C26" t="s">
        <v>77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</row>
    <row r="27" spans="1:15" x14ac:dyDescent="0.25">
      <c r="A27" t="s">
        <v>248</v>
      </c>
      <c r="B27" t="s">
        <v>906</v>
      </c>
      <c r="C27" t="s">
        <v>97</v>
      </c>
      <c r="D27">
        <v>2</v>
      </c>
      <c r="E27">
        <v>1</v>
      </c>
      <c r="F27">
        <v>0</v>
      </c>
      <c r="G27">
        <v>2</v>
      </c>
      <c r="H27">
        <v>0</v>
      </c>
      <c r="I27">
        <v>2</v>
      </c>
      <c r="J27">
        <v>4</v>
      </c>
      <c r="K27">
        <v>0</v>
      </c>
      <c r="L27">
        <v>4</v>
      </c>
      <c r="M27">
        <v>1</v>
      </c>
      <c r="N27">
        <v>0</v>
      </c>
      <c r="O27">
        <v>0</v>
      </c>
    </row>
    <row r="28" spans="1:15" x14ac:dyDescent="0.25">
      <c r="A28" t="s">
        <v>251</v>
      </c>
      <c r="B28" t="s">
        <v>906</v>
      </c>
      <c r="C28" t="s">
        <v>52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253</v>
      </c>
      <c r="B29" t="s">
        <v>906</v>
      </c>
      <c r="C29" t="s">
        <v>123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</row>
    <row r="30" spans="1:15" x14ac:dyDescent="0.25">
      <c r="A30" t="s">
        <v>261</v>
      </c>
      <c r="B30" t="s">
        <v>30</v>
      </c>
      <c r="C30" t="s">
        <v>30</v>
      </c>
      <c r="D30">
        <v>315</v>
      </c>
      <c r="E30">
        <v>191</v>
      </c>
      <c r="F30">
        <v>119</v>
      </c>
      <c r="G30">
        <v>129</v>
      </c>
      <c r="H30">
        <v>140</v>
      </c>
      <c r="I30">
        <v>150</v>
      </c>
      <c r="J30">
        <v>207</v>
      </c>
      <c r="K30">
        <v>60</v>
      </c>
      <c r="L30">
        <v>147</v>
      </c>
      <c r="M30">
        <v>145</v>
      </c>
      <c r="N30">
        <v>367</v>
      </c>
      <c r="O30">
        <v>23</v>
      </c>
    </row>
    <row r="31" spans="1:15" x14ac:dyDescent="0.25">
      <c r="A31" t="s">
        <v>280</v>
      </c>
      <c r="B31" t="s">
        <v>30</v>
      </c>
      <c r="C31" t="s">
        <v>30</v>
      </c>
      <c r="D31">
        <v>412</v>
      </c>
      <c r="E31">
        <v>243</v>
      </c>
      <c r="F31">
        <v>250</v>
      </c>
      <c r="G31">
        <v>119</v>
      </c>
      <c r="H31">
        <v>169</v>
      </c>
      <c r="I31">
        <v>222</v>
      </c>
      <c r="J31">
        <v>303</v>
      </c>
      <c r="K31">
        <v>108</v>
      </c>
      <c r="L31">
        <v>195</v>
      </c>
      <c r="M31">
        <v>193</v>
      </c>
      <c r="N31">
        <v>587</v>
      </c>
      <c r="O31">
        <v>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1AFB-40C9-4FE5-8349-836C67826621}">
  <dimension ref="A1:V30"/>
  <sheetViews>
    <sheetView topLeftCell="L1" workbookViewId="0">
      <selection activeCell="Q4" sqref="Q4:V4"/>
    </sheetView>
  </sheetViews>
  <sheetFormatPr defaultRowHeight="15" x14ac:dyDescent="0.25"/>
  <cols>
    <col min="1" max="1" width="15.140625" bestFit="1" customWidth="1"/>
    <col min="2" max="2" width="14.5703125" bestFit="1" customWidth="1"/>
    <col min="3" max="3" width="19.28515625" bestFit="1" customWidth="1"/>
    <col min="4" max="4" width="16.5703125" style="22" bestFit="1" customWidth="1"/>
    <col min="5" max="6" width="18.85546875" bestFit="1" customWidth="1"/>
    <col min="7" max="7" width="23.140625" bestFit="1" customWidth="1"/>
    <col min="8" max="8" width="19" bestFit="1" customWidth="1"/>
    <col min="9" max="10" width="19.5703125" bestFit="1" customWidth="1"/>
    <col min="11" max="11" width="20.140625" bestFit="1" customWidth="1"/>
    <col min="12" max="12" width="18.140625" bestFit="1" customWidth="1"/>
    <col min="13" max="13" width="21.42578125" bestFit="1" customWidth="1"/>
    <col min="17" max="17" width="26.28515625" customWidth="1"/>
    <col min="18" max="18" width="10.5703125" customWidth="1"/>
    <col min="21" max="21" width="10.85546875" customWidth="1"/>
    <col min="22" max="22" width="9.140625" style="7"/>
  </cols>
  <sheetData>
    <row r="1" spans="1:22" x14ac:dyDescent="0.25">
      <c r="A1" s="9" t="s">
        <v>38</v>
      </c>
      <c r="B1" t="s">
        <v>928</v>
      </c>
    </row>
    <row r="3" spans="1:22" x14ac:dyDescent="0.25">
      <c r="A3" s="9" t="s">
        <v>926</v>
      </c>
      <c r="B3" t="s">
        <v>1044</v>
      </c>
      <c r="C3" t="s">
        <v>1045</v>
      </c>
      <c r="D3" t="s">
        <v>1057</v>
      </c>
      <c r="E3" t="s">
        <v>1046</v>
      </c>
      <c r="F3" t="s">
        <v>1047</v>
      </c>
      <c r="G3" t="s">
        <v>1048</v>
      </c>
      <c r="H3" t="s">
        <v>1049</v>
      </c>
      <c r="I3" t="s">
        <v>1050</v>
      </c>
      <c r="J3" t="s">
        <v>1051</v>
      </c>
      <c r="K3" t="s">
        <v>1052</v>
      </c>
      <c r="L3" t="s">
        <v>1053</v>
      </c>
      <c r="M3" t="s">
        <v>1054</v>
      </c>
      <c r="Q3" t="s">
        <v>943</v>
      </c>
      <c r="R3">
        <v>38</v>
      </c>
    </row>
    <row r="4" spans="1:22" x14ac:dyDescent="0.25">
      <c r="A4" s="6" t="s">
        <v>242</v>
      </c>
      <c r="B4">
        <v>70</v>
      </c>
      <c r="C4">
        <v>43</v>
      </c>
      <c r="D4">
        <v>0.61428571428571432</v>
      </c>
      <c r="E4">
        <v>25</v>
      </c>
      <c r="F4">
        <v>33</v>
      </c>
      <c r="G4">
        <v>29</v>
      </c>
      <c r="H4">
        <v>31</v>
      </c>
      <c r="I4">
        <v>8</v>
      </c>
      <c r="J4">
        <v>24</v>
      </c>
      <c r="K4">
        <v>26</v>
      </c>
      <c r="L4">
        <v>41</v>
      </c>
      <c r="M4">
        <v>4</v>
      </c>
      <c r="Q4" t="s">
        <v>1055</v>
      </c>
      <c r="R4" t="s">
        <v>242</v>
      </c>
      <c r="S4">
        <v>70</v>
      </c>
      <c r="U4" t="s">
        <v>968</v>
      </c>
      <c r="V4" s="7">
        <f>S4/R3</f>
        <v>1.8421052631578947</v>
      </c>
    </row>
    <row r="5" spans="1:22" x14ac:dyDescent="0.25">
      <c r="A5" s="6" t="s">
        <v>110</v>
      </c>
      <c r="B5">
        <v>42</v>
      </c>
      <c r="C5">
        <v>28</v>
      </c>
      <c r="D5">
        <v>0.66666666666666663</v>
      </c>
      <c r="E5">
        <v>16</v>
      </c>
      <c r="F5">
        <v>18</v>
      </c>
      <c r="G5">
        <v>22</v>
      </c>
      <c r="H5">
        <v>17</v>
      </c>
      <c r="I5">
        <v>12</v>
      </c>
      <c r="J5">
        <v>16</v>
      </c>
      <c r="K5">
        <v>23</v>
      </c>
      <c r="L5">
        <v>70</v>
      </c>
      <c r="M5">
        <v>3</v>
      </c>
      <c r="R5" t="s">
        <v>954</v>
      </c>
      <c r="S5">
        <v>55</v>
      </c>
      <c r="U5" t="s">
        <v>968</v>
      </c>
      <c r="V5" s="7">
        <f>S5/R3</f>
        <v>1.4473684210526316</v>
      </c>
    </row>
    <row r="6" spans="1:22" x14ac:dyDescent="0.25">
      <c r="A6" s="6" t="s">
        <v>75</v>
      </c>
      <c r="B6">
        <v>55</v>
      </c>
      <c r="C6">
        <v>33</v>
      </c>
      <c r="D6">
        <v>0.6</v>
      </c>
      <c r="E6">
        <v>21</v>
      </c>
      <c r="F6">
        <v>24</v>
      </c>
      <c r="G6">
        <v>21</v>
      </c>
      <c r="H6">
        <v>17</v>
      </c>
      <c r="I6">
        <v>12</v>
      </c>
      <c r="J6">
        <v>24</v>
      </c>
      <c r="K6">
        <v>27</v>
      </c>
      <c r="L6">
        <v>37</v>
      </c>
      <c r="M6">
        <v>3</v>
      </c>
    </row>
    <row r="7" spans="1:22" x14ac:dyDescent="0.25">
      <c r="A7" s="6" t="s">
        <v>154</v>
      </c>
      <c r="B7">
        <v>0</v>
      </c>
      <c r="C7">
        <v>0</v>
      </c>
      <c r="D7" t="e">
        <v>#DIV/0!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10</v>
      </c>
      <c r="M7">
        <v>1</v>
      </c>
      <c r="Q7" t="s">
        <v>1058</v>
      </c>
      <c r="R7" t="s">
        <v>242</v>
      </c>
      <c r="S7">
        <v>43</v>
      </c>
      <c r="U7" t="s">
        <v>968</v>
      </c>
      <c r="V7" s="7">
        <f>S7/R3</f>
        <v>1.131578947368421</v>
      </c>
    </row>
    <row r="8" spans="1:22" x14ac:dyDescent="0.25">
      <c r="A8" s="6" t="s">
        <v>142</v>
      </c>
      <c r="B8">
        <v>31</v>
      </c>
      <c r="C8">
        <v>20</v>
      </c>
      <c r="D8">
        <v>0.64516129032258063</v>
      </c>
      <c r="E8">
        <v>11</v>
      </c>
      <c r="F8">
        <v>10</v>
      </c>
      <c r="G8">
        <v>13</v>
      </c>
      <c r="H8">
        <v>18</v>
      </c>
      <c r="I8">
        <v>0</v>
      </c>
      <c r="J8">
        <v>30</v>
      </c>
      <c r="K8">
        <v>13</v>
      </c>
      <c r="L8">
        <v>18</v>
      </c>
      <c r="M8">
        <v>1</v>
      </c>
      <c r="R8" t="s">
        <v>954</v>
      </c>
      <c r="S8">
        <v>33</v>
      </c>
      <c r="U8" t="s">
        <v>968</v>
      </c>
      <c r="V8" s="7">
        <f>S8/R3</f>
        <v>0.86842105263157898</v>
      </c>
    </row>
    <row r="9" spans="1:22" x14ac:dyDescent="0.25">
      <c r="A9" s="6" t="s">
        <v>196</v>
      </c>
      <c r="B9">
        <v>10</v>
      </c>
      <c r="C9">
        <v>4</v>
      </c>
      <c r="D9">
        <v>0.4</v>
      </c>
      <c r="E9">
        <v>1</v>
      </c>
      <c r="F9">
        <v>7</v>
      </c>
      <c r="G9">
        <v>5</v>
      </c>
      <c r="H9">
        <v>11</v>
      </c>
      <c r="I9">
        <v>1</v>
      </c>
      <c r="J9">
        <v>6</v>
      </c>
      <c r="K9">
        <v>1</v>
      </c>
      <c r="L9">
        <v>8</v>
      </c>
      <c r="M9">
        <v>1</v>
      </c>
    </row>
    <row r="10" spans="1:22" x14ac:dyDescent="0.25">
      <c r="A10" s="6" t="s">
        <v>95</v>
      </c>
      <c r="B10">
        <v>51</v>
      </c>
      <c r="C10">
        <v>23</v>
      </c>
      <c r="D10">
        <v>0.45098039215686275</v>
      </c>
      <c r="E10">
        <v>13</v>
      </c>
      <c r="F10">
        <v>25</v>
      </c>
      <c r="G10">
        <v>25</v>
      </c>
      <c r="H10">
        <v>32</v>
      </c>
      <c r="I10">
        <v>4</v>
      </c>
      <c r="J10">
        <v>28</v>
      </c>
      <c r="K10">
        <v>17</v>
      </c>
      <c r="L10">
        <v>15</v>
      </c>
      <c r="M10">
        <v>1</v>
      </c>
      <c r="Q10" t="s">
        <v>1071</v>
      </c>
      <c r="R10" t="s">
        <v>955</v>
      </c>
      <c r="S10" s="23">
        <v>0.67</v>
      </c>
      <c r="U10" t="s">
        <v>968</v>
      </c>
      <c r="V10" s="7">
        <f>42/R3</f>
        <v>1.1052631578947369</v>
      </c>
    </row>
    <row r="11" spans="1:22" x14ac:dyDescent="0.25">
      <c r="A11" s="6" t="s">
        <v>204</v>
      </c>
      <c r="B11">
        <v>38</v>
      </c>
      <c r="C11">
        <v>24</v>
      </c>
      <c r="D11">
        <v>0.63157894736842102</v>
      </c>
      <c r="E11">
        <v>19</v>
      </c>
      <c r="F11">
        <v>17</v>
      </c>
      <c r="G11">
        <v>19</v>
      </c>
      <c r="H11">
        <v>20</v>
      </c>
      <c r="I11">
        <v>6</v>
      </c>
      <c r="J11">
        <v>13</v>
      </c>
      <c r="K11">
        <v>27</v>
      </c>
      <c r="L11">
        <v>40</v>
      </c>
      <c r="M11">
        <v>1</v>
      </c>
    </row>
    <row r="12" spans="1:22" x14ac:dyDescent="0.25">
      <c r="A12" s="6" t="s">
        <v>313</v>
      </c>
      <c r="B12">
        <v>24</v>
      </c>
      <c r="C12">
        <v>13</v>
      </c>
      <c r="D12">
        <v>0.54166666666666663</v>
      </c>
      <c r="E12">
        <v>5</v>
      </c>
      <c r="F12">
        <v>8</v>
      </c>
      <c r="G12">
        <v>8</v>
      </c>
      <c r="H12">
        <v>24</v>
      </c>
      <c r="I12">
        <v>0</v>
      </c>
      <c r="J12">
        <v>30</v>
      </c>
      <c r="K12">
        <v>2</v>
      </c>
      <c r="L12">
        <v>14</v>
      </c>
      <c r="M12">
        <v>1</v>
      </c>
      <c r="Q12" t="s">
        <v>1060</v>
      </c>
      <c r="R12" t="s">
        <v>242</v>
      </c>
      <c r="S12">
        <v>25</v>
      </c>
      <c r="U12" t="s">
        <v>968</v>
      </c>
      <c r="V12" s="7">
        <f>S12/R3</f>
        <v>0.65789473684210531</v>
      </c>
    </row>
    <row r="13" spans="1:22" x14ac:dyDescent="0.25">
      <c r="A13" s="6" t="s">
        <v>211</v>
      </c>
      <c r="B13">
        <v>0</v>
      </c>
      <c r="C13">
        <v>0</v>
      </c>
      <c r="D13" t="e">
        <v>#DIV/0!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>
        <v>1</v>
      </c>
      <c r="Q13" t="s">
        <v>1061</v>
      </c>
      <c r="R13" t="s">
        <v>242</v>
      </c>
      <c r="S13">
        <v>33</v>
      </c>
      <c r="U13" t="s">
        <v>968</v>
      </c>
      <c r="V13" s="7">
        <f>S13/R3</f>
        <v>0.86842105263157898</v>
      </c>
    </row>
    <row r="14" spans="1:22" x14ac:dyDescent="0.25">
      <c r="A14" s="6" t="s">
        <v>221</v>
      </c>
      <c r="B14">
        <v>26</v>
      </c>
      <c r="C14">
        <v>16</v>
      </c>
      <c r="D14">
        <v>0.61538461538461542</v>
      </c>
      <c r="E14">
        <v>15</v>
      </c>
      <c r="F14">
        <v>8</v>
      </c>
      <c r="G14">
        <v>13</v>
      </c>
      <c r="H14">
        <v>7</v>
      </c>
      <c r="I14">
        <v>2</v>
      </c>
      <c r="J14">
        <v>15</v>
      </c>
      <c r="K14">
        <v>14</v>
      </c>
      <c r="L14">
        <v>54</v>
      </c>
      <c r="M14">
        <v>0</v>
      </c>
    </row>
    <row r="15" spans="1:22" x14ac:dyDescent="0.25">
      <c r="A15" s="6" t="s">
        <v>374</v>
      </c>
      <c r="B15">
        <v>0</v>
      </c>
      <c r="C15">
        <v>0</v>
      </c>
      <c r="D15" t="e">
        <v>#DIV/0!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Q15" t="s">
        <v>1062</v>
      </c>
      <c r="R15" t="s">
        <v>242</v>
      </c>
      <c r="S15">
        <v>29</v>
      </c>
      <c r="U15" t="s">
        <v>968</v>
      </c>
      <c r="V15" s="7">
        <f>S15/R3</f>
        <v>0.76315789473684215</v>
      </c>
    </row>
    <row r="16" spans="1:22" x14ac:dyDescent="0.25">
      <c r="A16" s="6" t="s">
        <v>235</v>
      </c>
      <c r="B16">
        <v>2</v>
      </c>
      <c r="C16">
        <v>1</v>
      </c>
      <c r="D16">
        <v>0.5</v>
      </c>
      <c r="E16">
        <v>1</v>
      </c>
      <c r="F16">
        <v>0</v>
      </c>
      <c r="G16">
        <v>0</v>
      </c>
      <c r="H16">
        <v>3</v>
      </c>
      <c r="I16">
        <v>7</v>
      </c>
      <c r="J16">
        <v>4</v>
      </c>
      <c r="K16">
        <v>10</v>
      </c>
      <c r="L16">
        <v>21</v>
      </c>
      <c r="M16">
        <v>0</v>
      </c>
      <c r="R16" t="s">
        <v>967</v>
      </c>
      <c r="S16">
        <v>25</v>
      </c>
      <c r="U16" t="s">
        <v>968</v>
      </c>
      <c r="V16" s="7">
        <f>S16/R3</f>
        <v>0.65789473684210531</v>
      </c>
    </row>
    <row r="17" spans="1:22" x14ac:dyDescent="0.25">
      <c r="A17" s="6" t="s">
        <v>371</v>
      </c>
      <c r="B17">
        <v>1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22" x14ac:dyDescent="0.25">
      <c r="A18" s="6" t="s">
        <v>50</v>
      </c>
      <c r="B18">
        <v>6</v>
      </c>
      <c r="C18">
        <v>3</v>
      </c>
      <c r="D18">
        <v>0.5</v>
      </c>
      <c r="E18">
        <v>0</v>
      </c>
      <c r="F18">
        <v>3</v>
      </c>
      <c r="G18">
        <v>2</v>
      </c>
      <c r="H18">
        <v>1</v>
      </c>
      <c r="I18">
        <v>1</v>
      </c>
      <c r="J18">
        <v>10</v>
      </c>
      <c r="K18">
        <v>2</v>
      </c>
      <c r="L18">
        <v>16</v>
      </c>
      <c r="M18">
        <v>0</v>
      </c>
      <c r="Q18" t="s">
        <v>1063</v>
      </c>
      <c r="R18" t="s">
        <v>967</v>
      </c>
      <c r="S18">
        <v>32</v>
      </c>
      <c r="U18" t="s">
        <v>968</v>
      </c>
      <c r="V18" s="7">
        <f>S18/R3</f>
        <v>0.84210526315789469</v>
      </c>
    </row>
    <row r="19" spans="1:22" x14ac:dyDescent="0.25">
      <c r="A19" s="6" t="s">
        <v>373</v>
      </c>
      <c r="B19">
        <v>0</v>
      </c>
      <c r="C19">
        <v>0</v>
      </c>
      <c r="D19" t="e">
        <v>#DIV/0!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</row>
    <row r="20" spans="1:22" x14ac:dyDescent="0.25">
      <c r="A20" s="6" t="s">
        <v>368</v>
      </c>
      <c r="B20">
        <v>7</v>
      </c>
      <c r="C20">
        <v>3</v>
      </c>
      <c r="D20">
        <v>0.42857142857142855</v>
      </c>
      <c r="E20">
        <v>1</v>
      </c>
      <c r="F20">
        <v>2</v>
      </c>
      <c r="G20">
        <v>2</v>
      </c>
      <c r="H20">
        <v>2</v>
      </c>
      <c r="I20">
        <v>0</v>
      </c>
      <c r="J20">
        <v>4</v>
      </c>
      <c r="K20">
        <v>5</v>
      </c>
      <c r="L20">
        <v>1</v>
      </c>
      <c r="M20">
        <v>0</v>
      </c>
      <c r="Q20" t="s">
        <v>1064</v>
      </c>
      <c r="R20" t="s">
        <v>1072</v>
      </c>
      <c r="S20">
        <v>17</v>
      </c>
      <c r="U20" t="s">
        <v>968</v>
      </c>
      <c r="V20" s="7">
        <f>S20/R3</f>
        <v>0.44736842105263158</v>
      </c>
    </row>
    <row r="21" spans="1:22" x14ac:dyDescent="0.25">
      <c r="A21" s="6" t="s">
        <v>226</v>
      </c>
      <c r="B21">
        <v>13</v>
      </c>
      <c r="C21">
        <v>8</v>
      </c>
      <c r="D21">
        <v>0.61538461538461542</v>
      </c>
      <c r="E21">
        <v>6</v>
      </c>
      <c r="F21">
        <v>7</v>
      </c>
      <c r="G21">
        <v>6</v>
      </c>
      <c r="H21">
        <v>6</v>
      </c>
      <c r="I21">
        <v>2</v>
      </c>
      <c r="J21">
        <v>11</v>
      </c>
      <c r="K21">
        <v>6</v>
      </c>
      <c r="L21">
        <v>5</v>
      </c>
      <c r="M21">
        <v>0</v>
      </c>
      <c r="Q21" t="s">
        <v>1065</v>
      </c>
      <c r="R21" t="s">
        <v>965</v>
      </c>
      <c r="S21">
        <v>30</v>
      </c>
      <c r="U21" t="s">
        <v>968</v>
      </c>
      <c r="V21" s="7">
        <f>S21/R3</f>
        <v>0.78947368421052633</v>
      </c>
    </row>
    <row r="22" spans="1:22" x14ac:dyDescent="0.25">
      <c r="A22" s="6" t="s">
        <v>133</v>
      </c>
      <c r="B22">
        <v>10</v>
      </c>
      <c r="C22">
        <v>7</v>
      </c>
      <c r="D22">
        <v>0.7</v>
      </c>
      <c r="E22">
        <v>4</v>
      </c>
      <c r="F22">
        <v>4</v>
      </c>
      <c r="G22">
        <v>3</v>
      </c>
      <c r="H22">
        <v>4</v>
      </c>
      <c r="I22">
        <v>1</v>
      </c>
      <c r="J22">
        <v>6</v>
      </c>
      <c r="K22">
        <v>4</v>
      </c>
      <c r="L22">
        <v>6</v>
      </c>
      <c r="M22">
        <v>0</v>
      </c>
      <c r="R22" t="s">
        <v>1073</v>
      </c>
      <c r="S22">
        <v>30</v>
      </c>
      <c r="U22" t="s">
        <v>968</v>
      </c>
      <c r="V22" s="7">
        <f>S22/R3</f>
        <v>0.78947368421052633</v>
      </c>
    </row>
    <row r="23" spans="1:22" x14ac:dyDescent="0.25">
      <c r="A23" s="6" t="s">
        <v>248</v>
      </c>
      <c r="B23">
        <v>0</v>
      </c>
      <c r="C23">
        <v>0</v>
      </c>
      <c r="D23" t="e">
        <v>#DIV/0!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R23" t="s">
        <v>1074</v>
      </c>
      <c r="S23">
        <v>28</v>
      </c>
      <c r="U23" t="s">
        <v>968</v>
      </c>
      <c r="V23" s="7">
        <f>S23/R3</f>
        <v>0.73684210526315785</v>
      </c>
    </row>
    <row r="24" spans="1:22" x14ac:dyDescent="0.25">
      <c r="A24" s="6" t="s">
        <v>179</v>
      </c>
      <c r="B24">
        <v>39</v>
      </c>
      <c r="C24">
        <v>20</v>
      </c>
      <c r="D24">
        <v>0.51282051282051277</v>
      </c>
      <c r="E24">
        <v>14</v>
      </c>
      <c r="F24">
        <v>21</v>
      </c>
      <c r="G24">
        <v>19</v>
      </c>
      <c r="H24">
        <v>7</v>
      </c>
      <c r="I24">
        <v>17</v>
      </c>
      <c r="J24">
        <v>15</v>
      </c>
      <c r="K24">
        <v>30</v>
      </c>
      <c r="L24">
        <v>77</v>
      </c>
      <c r="M24">
        <v>0</v>
      </c>
      <c r="Q24" t="s">
        <v>1067</v>
      </c>
      <c r="R24" t="s">
        <v>1072</v>
      </c>
      <c r="S24">
        <v>30</v>
      </c>
      <c r="U24" t="s">
        <v>968</v>
      </c>
      <c r="V24" s="7">
        <f>S24/R3</f>
        <v>0.78947368421052633</v>
      </c>
    </row>
    <row r="25" spans="1:22" x14ac:dyDescent="0.25">
      <c r="A25" s="6" t="s">
        <v>122</v>
      </c>
      <c r="B25">
        <v>36</v>
      </c>
      <c r="C25">
        <v>25</v>
      </c>
      <c r="D25">
        <v>0.69444444444444442</v>
      </c>
      <c r="E25">
        <v>16</v>
      </c>
      <c r="F25">
        <v>15</v>
      </c>
      <c r="G25">
        <v>18</v>
      </c>
      <c r="H25">
        <v>10</v>
      </c>
      <c r="I25">
        <v>1</v>
      </c>
      <c r="J25">
        <v>22</v>
      </c>
      <c r="K25">
        <v>10</v>
      </c>
      <c r="L25">
        <v>10</v>
      </c>
      <c r="M25">
        <v>0</v>
      </c>
      <c r="R25" t="s">
        <v>954</v>
      </c>
      <c r="S25">
        <v>27</v>
      </c>
      <c r="U25" t="s">
        <v>968</v>
      </c>
      <c r="V25" s="7">
        <f>S25/R3</f>
        <v>0.71052631578947367</v>
      </c>
    </row>
    <row r="26" spans="1:22" x14ac:dyDescent="0.25">
      <c r="A26" s="6" t="s">
        <v>213</v>
      </c>
      <c r="B26">
        <v>39</v>
      </c>
      <c r="C26">
        <v>22</v>
      </c>
      <c r="D26">
        <v>0.5641025641025641</v>
      </c>
      <c r="E26">
        <v>13</v>
      </c>
      <c r="F26">
        <v>12</v>
      </c>
      <c r="G26">
        <v>9</v>
      </c>
      <c r="H26">
        <v>11</v>
      </c>
      <c r="I26">
        <v>0</v>
      </c>
      <c r="J26">
        <v>14</v>
      </c>
      <c r="K26">
        <v>9</v>
      </c>
      <c r="L26">
        <v>5</v>
      </c>
      <c r="M26">
        <v>0</v>
      </c>
      <c r="R26" t="s">
        <v>1075</v>
      </c>
      <c r="S26">
        <v>27</v>
      </c>
      <c r="U26" t="s">
        <v>968</v>
      </c>
      <c r="V26" s="7">
        <f>S26/R3</f>
        <v>0.71052631578947367</v>
      </c>
    </row>
    <row r="27" spans="1:22" x14ac:dyDescent="0.25">
      <c r="A27" s="6" t="s">
        <v>370</v>
      </c>
      <c r="B27">
        <v>3</v>
      </c>
      <c r="C27">
        <v>3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2</v>
      </c>
      <c r="L27">
        <v>2</v>
      </c>
      <c r="M27">
        <v>0</v>
      </c>
      <c r="Q27" t="s">
        <v>1068</v>
      </c>
      <c r="R27" t="s">
        <v>1072</v>
      </c>
      <c r="S27">
        <v>77</v>
      </c>
      <c r="U27" t="s">
        <v>968</v>
      </c>
      <c r="V27" s="7">
        <f>S27/R3</f>
        <v>2.0263157894736841</v>
      </c>
    </row>
    <row r="28" spans="1:22" x14ac:dyDescent="0.25">
      <c r="A28" s="6" t="s">
        <v>183</v>
      </c>
      <c r="B28">
        <v>14</v>
      </c>
      <c r="C28">
        <v>9</v>
      </c>
      <c r="D28">
        <v>0.6428571428571429</v>
      </c>
      <c r="E28">
        <v>1</v>
      </c>
      <c r="F28">
        <v>5</v>
      </c>
      <c r="G28">
        <v>7</v>
      </c>
      <c r="H28">
        <v>13</v>
      </c>
      <c r="I28">
        <v>0</v>
      </c>
      <c r="J28">
        <v>5</v>
      </c>
      <c r="K28">
        <v>4</v>
      </c>
      <c r="L28">
        <v>4</v>
      </c>
      <c r="M28">
        <v>0</v>
      </c>
    </row>
    <row r="29" spans="1:22" x14ac:dyDescent="0.25">
      <c r="A29" s="6" t="s">
        <v>927</v>
      </c>
      <c r="B29">
        <v>517</v>
      </c>
      <c r="C29">
        <v>305</v>
      </c>
      <c r="D29">
        <v>0.58994197292069628</v>
      </c>
      <c r="E29">
        <v>183</v>
      </c>
      <c r="F29">
        <v>221</v>
      </c>
      <c r="G29">
        <v>222</v>
      </c>
      <c r="H29">
        <v>236</v>
      </c>
      <c r="I29">
        <v>75</v>
      </c>
      <c r="J29">
        <v>278</v>
      </c>
      <c r="K29">
        <v>233</v>
      </c>
      <c r="L29">
        <v>457</v>
      </c>
      <c r="M29">
        <v>17</v>
      </c>
      <c r="Q29" t="s">
        <v>1069</v>
      </c>
      <c r="R29" t="s">
        <v>242</v>
      </c>
      <c r="S29">
        <v>4</v>
      </c>
      <c r="U29" t="s">
        <v>968</v>
      </c>
      <c r="V29" s="7">
        <f>S29/R3</f>
        <v>0.10526315789473684</v>
      </c>
    </row>
    <row r="30" spans="1:22" x14ac:dyDescent="0.25">
      <c r="R30" t="s">
        <v>954</v>
      </c>
      <c r="S30">
        <v>3</v>
      </c>
      <c r="U30" t="s">
        <v>968</v>
      </c>
      <c r="V30" s="7">
        <f>S30/R3</f>
        <v>7.8947368421052627E-2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48C6-886D-4BEF-9E10-85D4C2F775C9}">
  <dimension ref="A1:O30"/>
  <sheetViews>
    <sheetView workbookViewId="0">
      <selection activeCell="D29" sqref="D29"/>
    </sheetView>
  </sheetViews>
  <sheetFormatPr defaultRowHeight="15" x14ac:dyDescent="0.25"/>
  <cols>
    <col min="1" max="1" width="15.140625" bestFit="1" customWidth="1"/>
    <col min="2" max="4" width="11.42578125" bestFit="1" customWidth="1"/>
    <col min="5" max="5" width="12.5703125" customWidth="1"/>
    <col min="6" max="7" width="11.42578125" bestFit="1" customWidth="1"/>
    <col min="8" max="8" width="15.5703125" customWidth="1"/>
    <col min="9" max="14" width="12.42578125" bestFit="1" customWidth="1"/>
    <col min="15" max="15" width="14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19</v>
      </c>
      <c r="O1" t="s">
        <v>20</v>
      </c>
    </row>
    <row r="2" spans="1:15" x14ac:dyDescent="0.25">
      <c r="A2" t="s">
        <v>30</v>
      </c>
      <c r="B2" t="s">
        <v>30</v>
      </c>
      <c r="C2" t="s">
        <v>30</v>
      </c>
      <c r="M2" t="s">
        <v>30</v>
      </c>
      <c r="N2" t="s">
        <v>30</v>
      </c>
      <c r="O2" t="s">
        <v>30</v>
      </c>
    </row>
    <row r="3" spans="1:15" x14ac:dyDescent="0.25">
      <c r="A3" t="s">
        <v>36</v>
      </c>
      <c r="B3" t="s">
        <v>37</v>
      </c>
      <c r="C3" t="s">
        <v>38</v>
      </c>
      <c r="D3" t="s">
        <v>540</v>
      </c>
      <c r="E3" t="s">
        <v>1034</v>
      </c>
      <c r="F3" t="s">
        <v>1035</v>
      </c>
      <c r="G3" t="s">
        <v>1036</v>
      </c>
      <c r="H3" t="s">
        <v>1037</v>
      </c>
      <c r="I3" t="s">
        <v>1038</v>
      </c>
      <c r="J3" t="s">
        <v>541</v>
      </c>
      <c r="K3" t="s">
        <v>1039</v>
      </c>
      <c r="L3" t="s">
        <v>1040</v>
      </c>
      <c r="M3" t="s">
        <v>1041</v>
      </c>
      <c r="N3" t="s">
        <v>1042</v>
      </c>
      <c r="O3" t="s">
        <v>1043</v>
      </c>
    </row>
    <row r="4" spans="1:15" x14ac:dyDescent="0.25">
      <c r="A4" t="s">
        <v>242</v>
      </c>
      <c r="B4" t="s">
        <v>912</v>
      </c>
      <c r="C4" t="s">
        <v>123</v>
      </c>
      <c r="D4">
        <v>70</v>
      </c>
      <c r="E4">
        <v>43</v>
      </c>
      <c r="F4">
        <v>25</v>
      </c>
      <c r="G4">
        <v>33</v>
      </c>
      <c r="H4">
        <v>29</v>
      </c>
      <c r="I4">
        <v>31</v>
      </c>
      <c r="J4">
        <v>32</v>
      </c>
      <c r="K4">
        <v>8</v>
      </c>
      <c r="L4">
        <v>24</v>
      </c>
      <c r="M4">
        <v>26</v>
      </c>
      <c r="N4">
        <v>41</v>
      </c>
      <c r="O4">
        <v>4</v>
      </c>
    </row>
    <row r="5" spans="1:15" x14ac:dyDescent="0.25">
      <c r="A5" t="s">
        <v>142</v>
      </c>
      <c r="B5" t="s">
        <v>906</v>
      </c>
      <c r="C5" t="s">
        <v>170</v>
      </c>
      <c r="D5">
        <v>31</v>
      </c>
      <c r="E5">
        <v>20</v>
      </c>
      <c r="F5">
        <v>11</v>
      </c>
      <c r="G5">
        <v>10</v>
      </c>
      <c r="H5">
        <v>13</v>
      </c>
      <c r="I5">
        <v>18</v>
      </c>
      <c r="J5">
        <v>30</v>
      </c>
      <c r="K5">
        <v>0</v>
      </c>
      <c r="L5">
        <v>30</v>
      </c>
      <c r="M5">
        <v>13</v>
      </c>
      <c r="N5">
        <v>18</v>
      </c>
      <c r="O5">
        <v>1</v>
      </c>
    </row>
    <row r="6" spans="1:15" x14ac:dyDescent="0.25">
      <c r="A6" t="s">
        <v>154</v>
      </c>
      <c r="B6" t="s">
        <v>907</v>
      </c>
      <c r="C6" t="s">
        <v>156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10</v>
      </c>
      <c r="O6">
        <v>1</v>
      </c>
    </row>
    <row r="7" spans="1:15" x14ac:dyDescent="0.25">
      <c r="A7" t="s">
        <v>313</v>
      </c>
      <c r="B7" t="s">
        <v>925</v>
      </c>
      <c r="C7" t="s">
        <v>97</v>
      </c>
      <c r="D7">
        <v>24</v>
      </c>
      <c r="E7">
        <v>13</v>
      </c>
      <c r="F7">
        <v>5</v>
      </c>
      <c r="G7">
        <v>8</v>
      </c>
      <c r="H7">
        <v>8</v>
      </c>
      <c r="I7">
        <v>24</v>
      </c>
      <c r="J7">
        <v>30</v>
      </c>
      <c r="K7">
        <v>0</v>
      </c>
      <c r="L7">
        <v>30</v>
      </c>
      <c r="M7">
        <v>2</v>
      </c>
      <c r="N7">
        <v>14</v>
      </c>
      <c r="O7">
        <v>1</v>
      </c>
    </row>
    <row r="8" spans="1:15" x14ac:dyDescent="0.25">
      <c r="A8" t="s">
        <v>204</v>
      </c>
      <c r="B8" t="s">
        <v>906</v>
      </c>
      <c r="C8" t="s">
        <v>77</v>
      </c>
      <c r="D8">
        <v>38</v>
      </c>
      <c r="E8">
        <v>24</v>
      </c>
      <c r="F8">
        <v>19</v>
      </c>
      <c r="G8">
        <v>17</v>
      </c>
      <c r="H8">
        <v>19</v>
      </c>
      <c r="I8">
        <v>20</v>
      </c>
      <c r="J8">
        <v>19</v>
      </c>
      <c r="K8">
        <v>6</v>
      </c>
      <c r="L8">
        <v>13</v>
      </c>
      <c r="M8">
        <v>27</v>
      </c>
      <c r="N8">
        <v>40</v>
      </c>
      <c r="O8">
        <v>1</v>
      </c>
    </row>
    <row r="9" spans="1:15" x14ac:dyDescent="0.25">
      <c r="A9" t="s">
        <v>95</v>
      </c>
      <c r="B9" t="s">
        <v>904</v>
      </c>
      <c r="C9" t="s">
        <v>97</v>
      </c>
      <c r="D9">
        <v>51</v>
      </c>
      <c r="E9">
        <v>23</v>
      </c>
      <c r="F9">
        <v>13</v>
      </c>
      <c r="G9">
        <v>25</v>
      </c>
      <c r="H9">
        <v>25</v>
      </c>
      <c r="I9">
        <v>32</v>
      </c>
      <c r="J9">
        <v>32</v>
      </c>
      <c r="K9">
        <v>4</v>
      </c>
      <c r="L9">
        <v>28</v>
      </c>
      <c r="M9">
        <v>17</v>
      </c>
      <c r="N9">
        <v>15</v>
      </c>
      <c r="O9">
        <v>1</v>
      </c>
    </row>
    <row r="10" spans="1:15" x14ac:dyDescent="0.25">
      <c r="A10" t="s">
        <v>50</v>
      </c>
      <c r="B10" t="s">
        <v>902</v>
      </c>
      <c r="C10" t="s">
        <v>52</v>
      </c>
      <c r="D10">
        <v>6</v>
      </c>
      <c r="E10">
        <v>3</v>
      </c>
      <c r="F10">
        <v>0</v>
      </c>
      <c r="G10">
        <v>3</v>
      </c>
      <c r="H10">
        <v>2</v>
      </c>
      <c r="I10">
        <v>1</v>
      </c>
      <c r="J10">
        <v>11</v>
      </c>
      <c r="K10">
        <v>1</v>
      </c>
      <c r="L10">
        <v>10</v>
      </c>
      <c r="M10">
        <v>2</v>
      </c>
      <c r="N10">
        <v>16</v>
      </c>
      <c r="O10">
        <v>0</v>
      </c>
    </row>
    <row r="11" spans="1:15" x14ac:dyDescent="0.25">
      <c r="A11" t="s">
        <v>179</v>
      </c>
      <c r="B11" t="s">
        <v>904</v>
      </c>
      <c r="C11" t="s">
        <v>77</v>
      </c>
      <c r="D11">
        <v>39</v>
      </c>
      <c r="E11">
        <v>20</v>
      </c>
      <c r="F11">
        <v>14</v>
      </c>
      <c r="G11">
        <v>21</v>
      </c>
      <c r="H11">
        <v>19</v>
      </c>
      <c r="I11">
        <v>7</v>
      </c>
      <c r="J11">
        <v>32</v>
      </c>
      <c r="K11">
        <v>17</v>
      </c>
      <c r="L11">
        <v>15</v>
      </c>
      <c r="M11">
        <v>30</v>
      </c>
      <c r="N11">
        <v>77</v>
      </c>
      <c r="O11">
        <v>0</v>
      </c>
    </row>
    <row r="12" spans="1:15" x14ac:dyDescent="0.25">
      <c r="A12" t="s">
        <v>110</v>
      </c>
      <c r="B12" t="s">
        <v>905</v>
      </c>
      <c r="C12" t="s">
        <v>135</v>
      </c>
      <c r="D12">
        <v>42</v>
      </c>
      <c r="E12">
        <v>28</v>
      </c>
      <c r="F12">
        <v>16</v>
      </c>
      <c r="G12">
        <v>18</v>
      </c>
      <c r="H12">
        <v>22</v>
      </c>
      <c r="I12">
        <v>17</v>
      </c>
      <c r="J12">
        <v>28</v>
      </c>
      <c r="K12">
        <v>12</v>
      </c>
      <c r="L12">
        <v>16</v>
      </c>
      <c r="M12">
        <v>23</v>
      </c>
      <c r="N12">
        <v>70</v>
      </c>
      <c r="O12">
        <v>3</v>
      </c>
    </row>
    <row r="13" spans="1:15" x14ac:dyDescent="0.25">
      <c r="A13" t="s">
        <v>75</v>
      </c>
      <c r="B13" t="s">
        <v>903</v>
      </c>
      <c r="C13" t="s">
        <v>77</v>
      </c>
      <c r="D13">
        <v>55</v>
      </c>
      <c r="E13">
        <v>33</v>
      </c>
      <c r="F13">
        <v>21</v>
      </c>
      <c r="G13">
        <v>24</v>
      </c>
      <c r="H13">
        <v>21</v>
      </c>
      <c r="I13">
        <v>17</v>
      </c>
      <c r="J13">
        <v>36</v>
      </c>
      <c r="K13">
        <v>12</v>
      </c>
      <c r="L13">
        <v>24</v>
      </c>
      <c r="M13">
        <v>27</v>
      </c>
      <c r="N13">
        <v>37</v>
      </c>
      <c r="O13">
        <v>3</v>
      </c>
    </row>
    <row r="14" spans="1:15" x14ac:dyDescent="0.25">
      <c r="A14" t="s">
        <v>221</v>
      </c>
      <c r="B14" t="s">
        <v>910</v>
      </c>
      <c r="C14" t="s">
        <v>77</v>
      </c>
      <c r="D14">
        <v>26</v>
      </c>
      <c r="E14">
        <v>16</v>
      </c>
      <c r="F14">
        <v>15</v>
      </c>
      <c r="G14">
        <v>8</v>
      </c>
      <c r="H14">
        <v>13</v>
      </c>
      <c r="I14">
        <v>7</v>
      </c>
      <c r="J14">
        <v>17</v>
      </c>
      <c r="K14">
        <v>2</v>
      </c>
      <c r="L14">
        <v>15</v>
      </c>
      <c r="M14">
        <v>14</v>
      </c>
      <c r="N14">
        <v>54</v>
      </c>
      <c r="O14">
        <v>0</v>
      </c>
    </row>
    <row r="15" spans="1:15" x14ac:dyDescent="0.25">
      <c r="A15" t="s">
        <v>213</v>
      </c>
      <c r="B15" t="s">
        <v>909</v>
      </c>
      <c r="C15" t="s">
        <v>170</v>
      </c>
      <c r="D15">
        <v>39</v>
      </c>
      <c r="E15">
        <v>22</v>
      </c>
      <c r="F15">
        <v>13</v>
      </c>
      <c r="G15">
        <v>12</v>
      </c>
      <c r="H15">
        <v>9</v>
      </c>
      <c r="I15">
        <v>11</v>
      </c>
      <c r="J15">
        <v>14</v>
      </c>
      <c r="K15">
        <v>0</v>
      </c>
      <c r="L15">
        <v>14</v>
      </c>
      <c r="M15">
        <v>9</v>
      </c>
      <c r="N15">
        <v>5</v>
      </c>
      <c r="O15">
        <v>0</v>
      </c>
    </row>
    <row r="16" spans="1:15" x14ac:dyDescent="0.25">
      <c r="A16" t="s">
        <v>122</v>
      </c>
      <c r="B16" t="s">
        <v>903</v>
      </c>
      <c r="C16" t="s">
        <v>123</v>
      </c>
      <c r="D16">
        <v>36</v>
      </c>
      <c r="E16">
        <v>25</v>
      </c>
      <c r="F16">
        <v>16</v>
      </c>
      <c r="G16">
        <v>15</v>
      </c>
      <c r="H16">
        <v>18</v>
      </c>
      <c r="I16">
        <v>10</v>
      </c>
      <c r="J16">
        <v>23</v>
      </c>
      <c r="K16">
        <v>1</v>
      </c>
      <c r="L16">
        <v>22</v>
      </c>
      <c r="M16">
        <v>10</v>
      </c>
      <c r="N16">
        <v>10</v>
      </c>
      <c r="O16">
        <v>0</v>
      </c>
    </row>
    <row r="17" spans="1:15" x14ac:dyDescent="0.25">
      <c r="A17" t="s">
        <v>183</v>
      </c>
      <c r="B17" t="s">
        <v>909</v>
      </c>
      <c r="C17" t="s">
        <v>123</v>
      </c>
      <c r="D17">
        <v>14</v>
      </c>
      <c r="E17">
        <v>9</v>
      </c>
      <c r="F17">
        <v>1</v>
      </c>
      <c r="G17">
        <v>5</v>
      </c>
      <c r="H17">
        <v>7</v>
      </c>
      <c r="I17">
        <v>13</v>
      </c>
      <c r="J17">
        <v>5</v>
      </c>
      <c r="K17">
        <v>0</v>
      </c>
      <c r="L17">
        <v>5</v>
      </c>
      <c r="M17">
        <v>4</v>
      </c>
      <c r="N17">
        <v>4</v>
      </c>
      <c r="O17">
        <v>0</v>
      </c>
    </row>
    <row r="18" spans="1:15" x14ac:dyDescent="0.25">
      <c r="A18" t="s">
        <v>235</v>
      </c>
      <c r="B18" t="s">
        <v>906</v>
      </c>
      <c r="C18" t="s">
        <v>135</v>
      </c>
      <c r="D18">
        <v>2</v>
      </c>
      <c r="E18">
        <v>1</v>
      </c>
      <c r="F18">
        <v>1</v>
      </c>
      <c r="G18">
        <v>0</v>
      </c>
      <c r="H18">
        <v>0</v>
      </c>
      <c r="I18">
        <v>3</v>
      </c>
      <c r="J18">
        <v>11</v>
      </c>
      <c r="K18">
        <v>7</v>
      </c>
      <c r="L18">
        <v>4</v>
      </c>
      <c r="M18">
        <v>10</v>
      </c>
      <c r="N18">
        <v>21</v>
      </c>
      <c r="O18">
        <v>0</v>
      </c>
    </row>
    <row r="19" spans="1:15" x14ac:dyDescent="0.25">
      <c r="A19" t="s">
        <v>226</v>
      </c>
      <c r="B19" t="s">
        <v>906</v>
      </c>
      <c r="C19" t="s">
        <v>170</v>
      </c>
      <c r="D19">
        <v>13</v>
      </c>
      <c r="E19">
        <v>8</v>
      </c>
      <c r="F19">
        <v>6</v>
      </c>
      <c r="G19">
        <v>7</v>
      </c>
      <c r="H19">
        <v>6</v>
      </c>
      <c r="I19">
        <v>6</v>
      </c>
      <c r="J19">
        <v>13</v>
      </c>
      <c r="K19">
        <v>2</v>
      </c>
      <c r="L19">
        <v>11</v>
      </c>
      <c r="M19">
        <v>6</v>
      </c>
      <c r="N19">
        <v>5</v>
      </c>
      <c r="O19">
        <v>0</v>
      </c>
    </row>
    <row r="20" spans="1:15" x14ac:dyDescent="0.25">
      <c r="A20" t="s">
        <v>133</v>
      </c>
      <c r="B20" t="s">
        <v>906</v>
      </c>
      <c r="C20" t="s">
        <v>135</v>
      </c>
      <c r="D20">
        <v>10</v>
      </c>
      <c r="E20">
        <v>7</v>
      </c>
      <c r="F20">
        <v>4</v>
      </c>
      <c r="G20">
        <v>4</v>
      </c>
      <c r="H20">
        <v>3</v>
      </c>
      <c r="I20">
        <v>4</v>
      </c>
      <c r="J20">
        <v>7</v>
      </c>
      <c r="K20">
        <v>1</v>
      </c>
      <c r="L20">
        <v>6</v>
      </c>
      <c r="M20">
        <v>4</v>
      </c>
      <c r="N20">
        <v>6</v>
      </c>
      <c r="O20">
        <v>0</v>
      </c>
    </row>
    <row r="21" spans="1:15" x14ac:dyDescent="0.25">
      <c r="A21" t="s">
        <v>196</v>
      </c>
      <c r="B21" t="s">
        <v>904</v>
      </c>
      <c r="C21" t="s">
        <v>123</v>
      </c>
      <c r="D21">
        <v>10</v>
      </c>
      <c r="E21">
        <v>4</v>
      </c>
      <c r="F21">
        <v>1</v>
      </c>
      <c r="G21">
        <v>7</v>
      </c>
      <c r="H21">
        <v>5</v>
      </c>
      <c r="I21">
        <v>11</v>
      </c>
      <c r="J21">
        <v>7</v>
      </c>
      <c r="K21">
        <v>1</v>
      </c>
      <c r="L21">
        <v>6</v>
      </c>
      <c r="M21">
        <v>1</v>
      </c>
      <c r="N21">
        <v>8</v>
      </c>
      <c r="O21">
        <v>1</v>
      </c>
    </row>
    <row r="22" spans="1:15" x14ac:dyDescent="0.25">
      <c r="A22" t="s">
        <v>211</v>
      </c>
      <c r="B22" t="s">
        <v>908</v>
      </c>
      <c r="C22" t="s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1</v>
      </c>
    </row>
    <row r="23" spans="1:15" x14ac:dyDescent="0.25">
      <c r="A23" t="s">
        <v>368</v>
      </c>
      <c r="B23" t="s">
        <v>902</v>
      </c>
      <c r="C23" t="s">
        <v>170</v>
      </c>
      <c r="D23">
        <v>7</v>
      </c>
      <c r="E23">
        <v>3</v>
      </c>
      <c r="F23">
        <v>1</v>
      </c>
      <c r="G23">
        <v>2</v>
      </c>
      <c r="H23">
        <v>2</v>
      </c>
      <c r="I23">
        <v>2</v>
      </c>
      <c r="J23">
        <v>4</v>
      </c>
      <c r="K23">
        <v>0</v>
      </c>
      <c r="L23">
        <v>4</v>
      </c>
      <c r="M23">
        <v>5</v>
      </c>
      <c r="N23">
        <v>1</v>
      </c>
      <c r="O23">
        <v>0</v>
      </c>
    </row>
    <row r="24" spans="1:15" x14ac:dyDescent="0.25">
      <c r="A24" t="s">
        <v>370</v>
      </c>
      <c r="B24" t="s">
        <v>906</v>
      </c>
      <c r="C24" t="s">
        <v>123</v>
      </c>
      <c r="D24">
        <v>3</v>
      </c>
      <c r="E24">
        <v>3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2</v>
      </c>
      <c r="O24">
        <v>0</v>
      </c>
    </row>
    <row r="25" spans="1:15" x14ac:dyDescent="0.25">
      <c r="A25" t="s">
        <v>371</v>
      </c>
      <c r="B25" t="s">
        <v>912</v>
      </c>
      <c r="C25" t="s">
        <v>170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</row>
    <row r="26" spans="1:15" x14ac:dyDescent="0.25">
      <c r="A26" t="s">
        <v>373</v>
      </c>
      <c r="B26" t="s">
        <v>912</v>
      </c>
      <c r="C26" t="s">
        <v>77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</row>
    <row r="27" spans="1:15" x14ac:dyDescent="0.25">
      <c r="A27" t="s">
        <v>374</v>
      </c>
      <c r="B27" t="s">
        <v>906</v>
      </c>
      <c r="C27" t="s">
        <v>123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248</v>
      </c>
      <c r="B28" t="s">
        <v>906</v>
      </c>
      <c r="C28" t="s">
        <v>123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</row>
    <row r="29" spans="1:15" x14ac:dyDescent="0.25">
      <c r="A29" t="s">
        <v>261</v>
      </c>
      <c r="B29" t="s">
        <v>30</v>
      </c>
      <c r="C29" t="s">
        <v>30</v>
      </c>
      <c r="D29">
        <v>517</v>
      </c>
      <c r="E29">
        <v>305</v>
      </c>
      <c r="F29">
        <v>183</v>
      </c>
      <c r="G29">
        <v>221</v>
      </c>
      <c r="H29">
        <v>222</v>
      </c>
      <c r="I29">
        <v>236</v>
      </c>
      <c r="J29">
        <v>353</v>
      </c>
      <c r="K29">
        <v>75</v>
      </c>
      <c r="L29">
        <v>278</v>
      </c>
      <c r="M29">
        <v>233</v>
      </c>
      <c r="N29">
        <v>457</v>
      </c>
      <c r="O29">
        <v>17</v>
      </c>
    </row>
    <row r="30" spans="1:15" x14ac:dyDescent="0.25">
      <c r="A30" t="s">
        <v>280</v>
      </c>
      <c r="B30" t="s">
        <v>30</v>
      </c>
      <c r="C30" t="s">
        <v>30</v>
      </c>
      <c r="D30">
        <v>638</v>
      </c>
      <c r="E30">
        <v>335</v>
      </c>
      <c r="F30">
        <v>379</v>
      </c>
      <c r="G30">
        <v>193</v>
      </c>
      <c r="H30">
        <v>282</v>
      </c>
      <c r="I30">
        <v>377</v>
      </c>
      <c r="J30">
        <v>537</v>
      </c>
      <c r="K30">
        <v>207</v>
      </c>
      <c r="L30">
        <v>330</v>
      </c>
      <c r="M30">
        <v>314</v>
      </c>
      <c r="N30">
        <v>847</v>
      </c>
      <c r="O30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5559-7492-4DE9-B40D-3C495860EA22}">
  <dimension ref="A3:M27"/>
  <sheetViews>
    <sheetView workbookViewId="0">
      <selection activeCell="G22" sqref="G22"/>
    </sheetView>
  </sheetViews>
  <sheetFormatPr defaultRowHeight="15" x14ac:dyDescent="0.25"/>
  <cols>
    <col min="1" max="1" width="17.140625" customWidth="1"/>
    <col min="2" max="2" width="20" bestFit="1" customWidth="1"/>
    <col min="3" max="3" width="18.85546875" bestFit="1" customWidth="1"/>
    <col min="4" max="4" width="18.42578125" bestFit="1" customWidth="1"/>
    <col min="5" max="5" width="16" bestFit="1" customWidth="1"/>
    <col min="6" max="6" width="22" bestFit="1" customWidth="1"/>
    <col min="7" max="7" width="13.140625" bestFit="1" customWidth="1"/>
    <col min="8" max="8" width="15.5703125" bestFit="1" customWidth="1"/>
    <col min="9" max="9" width="34.5703125" bestFit="1" customWidth="1"/>
    <col min="10" max="10" width="20.85546875" bestFit="1" customWidth="1"/>
    <col min="11" max="11" width="22.28515625" bestFit="1" customWidth="1"/>
    <col min="12" max="12" width="29.28515625" bestFit="1" customWidth="1"/>
  </cols>
  <sheetData>
    <row r="3" spans="1:13" x14ac:dyDescent="0.25">
      <c r="A3" s="9" t="s">
        <v>926</v>
      </c>
      <c r="B3" t="s">
        <v>1091</v>
      </c>
      <c r="C3" t="s">
        <v>1092</v>
      </c>
      <c r="D3" t="s">
        <v>1093</v>
      </c>
      <c r="E3" t="s">
        <v>1094</v>
      </c>
      <c r="F3" t="s">
        <v>1095</v>
      </c>
      <c r="G3" t="s">
        <v>1096</v>
      </c>
      <c r="H3" t="s">
        <v>1097</v>
      </c>
      <c r="I3" t="s">
        <v>1098</v>
      </c>
      <c r="J3" t="s">
        <v>1099</v>
      </c>
      <c r="K3" t="s">
        <v>1100</v>
      </c>
      <c r="L3" t="s">
        <v>1101</v>
      </c>
      <c r="M3" s="34" t="s">
        <v>564</v>
      </c>
    </row>
    <row r="4" spans="1:13" x14ac:dyDescent="0.25">
      <c r="A4" s="6" t="s">
        <v>154</v>
      </c>
      <c r="B4">
        <v>20</v>
      </c>
      <c r="C4">
        <v>2</v>
      </c>
      <c r="D4">
        <v>1</v>
      </c>
      <c r="E4">
        <v>1</v>
      </c>
      <c r="F4">
        <v>55</v>
      </c>
      <c r="G4">
        <v>32</v>
      </c>
      <c r="H4" s="23">
        <v>0.58181818181818179</v>
      </c>
      <c r="I4">
        <v>51</v>
      </c>
      <c r="J4">
        <v>119</v>
      </c>
      <c r="K4">
        <v>9</v>
      </c>
      <c r="L4">
        <v>28</v>
      </c>
      <c r="M4" s="37" t="s">
        <v>565</v>
      </c>
    </row>
    <row r="5" spans="1:13" x14ac:dyDescent="0.25">
      <c r="A5" s="6" t="s">
        <v>211</v>
      </c>
      <c r="B5">
        <v>15</v>
      </c>
      <c r="C5">
        <v>1</v>
      </c>
      <c r="D5">
        <v>1</v>
      </c>
      <c r="E5">
        <v>0</v>
      </c>
      <c r="F5">
        <v>41</v>
      </c>
      <c r="G5">
        <v>26</v>
      </c>
      <c r="H5" s="23">
        <v>0.63414634146341464</v>
      </c>
      <c r="I5">
        <v>31</v>
      </c>
      <c r="J5">
        <v>96</v>
      </c>
      <c r="K5">
        <v>2</v>
      </c>
      <c r="L5">
        <v>9</v>
      </c>
      <c r="M5" s="38" t="s">
        <v>530</v>
      </c>
    </row>
    <row r="6" spans="1:13" x14ac:dyDescent="0.25">
      <c r="A6" s="6" t="s">
        <v>927</v>
      </c>
      <c r="B6">
        <v>35</v>
      </c>
      <c r="C6">
        <v>3</v>
      </c>
      <c r="D6">
        <v>2</v>
      </c>
      <c r="E6">
        <v>1</v>
      </c>
      <c r="F6">
        <v>96</v>
      </c>
      <c r="G6">
        <v>58</v>
      </c>
      <c r="H6" s="23">
        <v>0.60416666666666663</v>
      </c>
      <c r="I6">
        <v>82</v>
      </c>
      <c r="J6">
        <v>215</v>
      </c>
      <c r="K6">
        <v>11</v>
      </c>
      <c r="L6">
        <v>37</v>
      </c>
      <c r="M6" s="37"/>
    </row>
    <row r="7" spans="1:13" x14ac:dyDescent="0.25">
      <c r="M7" s="39"/>
    </row>
    <row r="8" spans="1:13" x14ac:dyDescent="0.25">
      <c r="A8" s="6" t="s">
        <v>1107</v>
      </c>
      <c r="B8">
        <v>15</v>
      </c>
    </row>
    <row r="9" spans="1:13" x14ac:dyDescent="0.25">
      <c r="A9" t="s">
        <v>1108</v>
      </c>
      <c r="B9">
        <v>9</v>
      </c>
    </row>
    <row r="11" spans="1:13" x14ac:dyDescent="0.25">
      <c r="A11" t="s">
        <v>1102</v>
      </c>
      <c r="B11" t="s">
        <v>154</v>
      </c>
      <c r="C11">
        <v>20</v>
      </c>
      <c r="E11" t="s">
        <v>968</v>
      </c>
      <c r="F11" s="7">
        <f>C11/B8</f>
        <v>1.3333333333333333</v>
      </c>
    </row>
    <row r="12" spans="1:13" x14ac:dyDescent="0.25">
      <c r="B12" t="s">
        <v>1103</v>
      </c>
      <c r="C12">
        <v>15</v>
      </c>
      <c r="E12" t="s">
        <v>968</v>
      </c>
      <c r="F12" s="7">
        <f>C12/B9</f>
        <v>1.6666666666666667</v>
      </c>
    </row>
    <row r="14" spans="1:13" x14ac:dyDescent="0.25">
      <c r="A14" t="s">
        <v>1083</v>
      </c>
      <c r="B14" t="s">
        <v>154</v>
      </c>
      <c r="C14">
        <v>55</v>
      </c>
      <c r="E14" t="s">
        <v>968</v>
      </c>
      <c r="F14" s="7">
        <f>C14/B8</f>
        <v>3.6666666666666665</v>
      </c>
    </row>
    <row r="15" spans="1:13" x14ac:dyDescent="0.25">
      <c r="B15" t="s">
        <v>1103</v>
      </c>
      <c r="C15">
        <v>41</v>
      </c>
      <c r="E15" t="s">
        <v>968</v>
      </c>
      <c r="F15" s="7">
        <f>C15/B9</f>
        <v>4.5555555555555554</v>
      </c>
    </row>
    <row r="17" spans="1:6" x14ac:dyDescent="0.25">
      <c r="A17" t="s">
        <v>1085</v>
      </c>
      <c r="B17" t="s">
        <v>154</v>
      </c>
      <c r="C17">
        <v>32</v>
      </c>
      <c r="E17" t="s">
        <v>968</v>
      </c>
      <c r="F17" s="7">
        <f>C17/B8</f>
        <v>2.1333333333333333</v>
      </c>
    </row>
    <row r="18" spans="1:6" x14ac:dyDescent="0.25">
      <c r="B18" t="s">
        <v>1103</v>
      </c>
      <c r="C18">
        <v>26</v>
      </c>
      <c r="E18" t="s">
        <v>968</v>
      </c>
      <c r="F18" s="7">
        <f>C18/B9</f>
        <v>2.8888888888888888</v>
      </c>
    </row>
    <row r="20" spans="1:6" x14ac:dyDescent="0.25">
      <c r="A20" s="34" t="s">
        <v>564</v>
      </c>
      <c r="B20" t="s">
        <v>154</v>
      </c>
      <c r="C20" s="40">
        <v>21.5</v>
      </c>
      <c r="E20" t="s">
        <v>968</v>
      </c>
      <c r="F20" s="7">
        <f>C20/B8</f>
        <v>1.4333333333333333</v>
      </c>
    </row>
    <row r="21" spans="1:6" x14ac:dyDescent="0.25">
      <c r="B21" t="s">
        <v>1103</v>
      </c>
      <c r="C21" s="40">
        <v>13.4</v>
      </c>
      <c r="E21" t="s">
        <v>968</v>
      </c>
      <c r="F21" s="7">
        <f>C21/B9</f>
        <v>1.4888888888888889</v>
      </c>
    </row>
    <row r="23" spans="1:6" x14ac:dyDescent="0.25">
      <c r="A23" t="s">
        <v>1105</v>
      </c>
      <c r="B23" t="s">
        <v>154</v>
      </c>
      <c r="C23" s="22">
        <v>0.58181818181818179</v>
      </c>
    </row>
    <row r="24" spans="1:6" x14ac:dyDescent="0.25">
      <c r="B24" t="s">
        <v>1103</v>
      </c>
      <c r="C24" s="22">
        <v>0.63414634146341464</v>
      </c>
    </row>
    <row r="26" spans="1:6" x14ac:dyDescent="0.25">
      <c r="A26" t="s">
        <v>1106</v>
      </c>
      <c r="B26" t="s">
        <v>154</v>
      </c>
      <c r="C26">
        <v>28</v>
      </c>
      <c r="E26" t="s">
        <v>968</v>
      </c>
      <c r="F26" s="7">
        <f>C26/B8</f>
        <v>1.8666666666666667</v>
      </c>
    </row>
    <row r="27" spans="1:6" x14ac:dyDescent="0.25">
      <c r="B27" t="s">
        <v>1103</v>
      </c>
      <c r="C27">
        <v>9</v>
      </c>
      <c r="E27" t="s">
        <v>968</v>
      </c>
      <c r="F27" s="7">
        <f>C27/B9</f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08D0-EA38-4954-9062-1C3543CD559A}">
  <dimension ref="A1:P7"/>
  <sheetViews>
    <sheetView workbookViewId="0">
      <selection activeCell="L11" sqref="L11"/>
    </sheetView>
  </sheetViews>
  <sheetFormatPr defaultRowHeight="15" x14ac:dyDescent="0.25"/>
  <cols>
    <col min="1" max="1" width="14.7109375" bestFit="1" customWidth="1"/>
    <col min="2" max="3" width="11.42578125" bestFit="1" customWidth="1"/>
    <col min="4" max="4" width="13.28515625" customWidth="1"/>
    <col min="5" max="5" width="11.42578125" bestFit="1" customWidth="1"/>
    <col min="6" max="6" width="12.85546875" customWidth="1"/>
    <col min="7" max="7" width="11.42578125" bestFit="1" customWidth="1"/>
    <col min="8" max="8" width="12.42578125" bestFit="1" customWidth="1"/>
    <col min="9" max="10" width="15.28515625" customWidth="1"/>
    <col min="11" max="11" width="12.42578125" bestFit="1" customWidth="1"/>
    <col min="12" max="12" width="25.140625" customWidth="1"/>
    <col min="13" max="13" width="12.42578125" bestFit="1" customWidth="1"/>
    <col min="14" max="14" width="13.42578125" customWidth="1"/>
    <col min="15" max="15" width="15.42578125" customWidth="1"/>
    <col min="16" max="16" width="21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1082</v>
      </c>
      <c r="J1" t="s">
        <v>1084</v>
      </c>
      <c r="K1" t="s">
        <v>10</v>
      </c>
      <c r="L1" t="s">
        <v>14</v>
      </c>
      <c r="M1" t="s">
        <v>16</v>
      </c>
      <c r="N1" t="s">
        <v>24</v>
      </c>
      <c r="O1" t="s">
        <v>25</v>
      </c>
      <c r="P1" t="s">
        <v>27</v>
      </c>
    </row>
    <row r="2" spans="1:16" x14ac:dyDescent="0.25">
      <c r="A2" t="s">
        <v>30</v>
      </c>
      <c r="B2" t="s">
        <v>30</v>
      </c>
      <c r="C2" t="s">
        <v>30</v>
      </c>
    </row>
    <row r="3" spans="1:16" x14ac:dyDescent="0.25">
      <c r="A3" t="s">
        <v>36</v>
      </c>
      <c r="B3" t="s">
        <v>37</v>
      </c>
      <c r="C3" t="s">
        <v>38</v>
      </c>
      <c r="D3" t="s">
        <v>1077</v>
      </c>
      <c r="E3" t="s">
        <v>1078</v>
      </c>
      <c r="F3" t="s">
        <v>1079</v>
      </c>
      <c r="G3" t="s">
        <v>1080</v>
      </c>
      <c r="H3" t="s">
        <v>1081</v>
      </c>
      <c r="I3" t="s">
        <v>1083</v>
      </c>
      <c r="J3" t="s">
        <v>1085</v>
      </c>
      <c r="K3" t="s">
        <v>564</v>
      </c>
      <c r="L3" t="s">
        <v>1087</v>
      </c>
      <c r="M3" t="s">
        <v>1086</v>
      </c>
      <c r="N3" t="s">
        <v>1088</v>
      </c>
      <c r="O3" t="s">
        <v>1089</v>
      </c>
      <c r="P3" t="s">
        <v>1090</v>
      </c>
    </row>
    <row r="4" spans="1:16" x14ac:dyDescent="0.25">
      <c r="A4" t="s">
        <v>154</v>
      </c>
      <c r="B4" t="s">
        <v>907</v>
      </c>
      <c r="C4" t="s">
        <v>156</v>
      </c>
      <c r="D4">
        <v>20</v>
      </c>
      <c r="E4">
        <v>2</v>
      </c>
      <c r="F4">
        <v>0</v>
      </c>
      <c r="G4">
        <v>1</v>
      </c>
      <c r="H4">
        <v>1</v>
      </c>
      <c r="I4">
        <v>55</v>
      </c>
      <c r="J4">
        <v>32</v>
      </c>
      <c r="K4" s="7" t="s">
        <v>565</v>
      </c>
      <c r="L4">
        <v>51</v>
      </c>
      <c r="M4" s="22" t="s">
        <v>567</v>
      </c>
      <c r="N4">
        <v>119</v>
      </c>
      <c r="O4">
        <v>9</v>
      </c>
      <c r="P4">
        <v>28</v>
      </c>
    </row>
    <row r="5" spans="1:16" x14ac:dyDescent="0.25">
      <c r="A5" t="s">
        <v>211</v>
      </c>
      <c r="B5" t="s">
        <v>908</v>
      </c>
      <c r="C5" t="s">
        <v>156</v>
      </c>
      <c r="D5">
        <v>15</v>
      </c>
      <c r="E5">
        <v>1</v>
      </c>
      <c r="F5">
        <v>0</v>
      </c>
      <c r="G5">
        <v>1</v>
      </c>
      <c r="H5">
        <v>0</v>
      </c>
      <c r="I5">
        <v>41</v>
      </c>
      <c r="J5">
        <v>26</v>
      </c>
      <c r="K5" s="7" t="s">
        <v>530</v>
      </c>
      <c r="L5">
        <v>31</v>
      </c>
      <c r="M5" s="22" t="s">
        <v>568</v>
      </c>
      <c r="N5">
        <v>96</v>
      </c>
      <c r="O5">
        <v>2</v>
      </c>
      <c r="P5">
        <v>9</v>
      </c>
    </row>
    <row r="6" spans="1:16" x14ac:dyDescent="0.25">
      <c r="A6" t="s">
        <v>261</v>
      </c>
      <c r="B6" t="s">
        <v>30</v>
      </c>
      <c r="C6" t="s">
        <v>30</v>
      </c>
      <c r="D6">
        <v>35</v>
      </c>
      <c r="E6">
        <v>3</v>
      </c>
      <c r="F6">
        <v>0</v>
      </c>
      <c r="G6">
        <v>2</v>
      </c>
      <c r="H6">
        <v>1</v>
      </c>
      <c r="I6">
        <v>96</v>
      </c>
      <c r="J6">
        <v>58</v>
      </c>
      <c r="K6" s="7" t="s">
        <v>570</v>
      </c>
      <c r="L6">
        <v>82</v>
      </c>
      <c r="M6" s="22" t="s">
        <v>571</v>
      </c>
      <c r="N6">
        <v>215</v>
      </c>
      <c r="O6">
        <v>11</v>
      </c>
      <c r="P6">
        <v>37</v>
      </c>
    </row>
    <row r="7" spans="1:16" x14ac:dyDescent="0.25">
      <c r="A7" t="s">
        <v>280</v>
      </c>
      <c r="B7" t="s">
        <v>30</v>
      </c>
      <c r="C7" t="s">
        <v>30</v>
      </c>
      <c r="D7">
        <v>48</v>
      </c>
      <c r="E7">
        <v>1</v>
      </c>
      <c r="F7">
        <v>0</v>
      </c>
      <c r="G7">
        <v>5</v>
      </c>
      <c r="H7">
        <v>1</v>
      </c>
      <c r="K7" s="7" t="s">
        <v>573</v>
      </c>
      <c r="L7">
        <v>114</v>
      </c>
      <c r="M7" s="22" t="s">
        <v>574</v>
      </c>
      <c r="N7">
        <v>313</v>
      </c>
      <c r="O7">
        <v>23</v>
      </c>
      <c r="P7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A622-B597-45FC-BEBB-3CD5EA294AFA}">
  <dimension ref="A3:M27"/>
  <sheetViews>
    <sheetView topLeftCell="A8" workbookViewId="0">
      <selection activeCell="H14" sqref="H14"/>
    </sheetView>
  </sheetViews>
  <sheetFormatPr defaultRowHeight="15" x14ac:dyDescent="0.25"/>
  <cols>
    <col min="1" max="1" width="16.7109375" customWidth="1"/>
    <col min="2" max="2" width="20" bestFit="1" customWidth="1"/>
    <col min="3" max="3" width="18.85546875" bestFit="1" customWidth="1"/>
    <col min="4" max="4" width="18.42578125" bestFit="1" customWidth="1"/>
    <col min="5" max="5" width="16" bestFit="1" customWidth="1"/>
    <col min="6" max="6" width="22" bestFit="1" customWidth="1"/>
    <col min="7" max="7" width="13.140625" bestFit="1" customWidth="1"/>
    <col min="8" max="8" width="15.140625" bestFit="1" customWidth="1"/>
    <col min="9" max="9" width="34.5703125" bestFit="1" customWidth="1"/>
    <col min="10" max="10" width="20.85546875" bestFit="1" customWidth="1"/>
    <col min="11" max="11" width="22.28515625" bestFit="1" customWidth="1"/>
    <col min="12" max="12" width="29.28515625" bestFit="1" customWidth="1"/>
  </cols>
  <sheetData>
    <row r="3" spans="1:13" x14ac:dyDescent="0.25">
      <c r="A3" s="9" t="s">
        <v>926</v>
      </c>
      <c r="B3" t="s">
        <v>1091</v>
      </c>
      <c r="C3" t="s">
        <v>1092</v>
      </c>
      <c r="D3" t="s">
        <v>1093</v>
      </c>
      <c r="E3" t="s">
        <v>1094</v>
      </c>
      <c r="F3" t="s">
        <v>1095</v>
      </c>
      <c r="G3" t="s">
        <v>1096</v>
      </c>
      <c r="H3" t="s">
        <v>1104</v>
      </c>
      <c r="I3" t="s">
        <v>1098</v>
      </c>
      <c r="J3" t="s">
        <v>1099</v>
      </c>
      <c r="K3" t="s">
        <v>1100</v>
      </c>
      <c r="L3" t="s">
        <v>1101</v>
      </c>
      <c r="M3" s="36" t="s">
        <v>564</v>
      </c>
    </row>
    <row r="4" spans="1:13" x14ac:dyDescent="0.25">
      <c r="A4" s="6" t="s">
        <v>154</v>
      </c>
      <c r="B4">
        <v>27</v>
      </c>
      <c r="C4">
        <v>3</v>
      </c>
      <c r="D4">
        <v>2</v>
      </c>
      <c r="E4">
        <v>1</v>
      </c>
      <c r="F4">
        <v>82</v>
      </c>
      <c r="G4">
        <v>56</v>
      </c>
      <c r="H4" s="23">
        <v>0.68292682926829273</v>
      </c>
      <c r="I4">
        <v>114</v>
      </c>
      <c r="J4">
        <v>247</v>
      </c>
      <c r="K4">
        <v>25</v>
      </c>
      <c r="L4">
        <v>50</v>
      </c>
      <c r="M4" s="35">
        <v>27.2</v>
      </c>
    </row>
    <row r="5" spans="1:13" x14ac:dyDescent="0.25">
      <c r="A5" s="6" t="s">
        <v>211</v>
      </c>
      <c r="B5">
        <v>7</v>
      </c>
      <c r="C5">
        <v>0</v>
      </c>
      <c r="D5">
        <v>1</v>
      </c>
      <c r="E5">
        <v>0</v>
      </c>
      <c r="F5">
        <v>27</v>
      </c>
      <c r="G5">
        <v>20</v>
      </c>
      <c r="H5" s="23">
        <v>0.7407407407407407</v>
      </c>
      <c r="I5">
        <v>28</v>
      </c>
      <c r="J5">
        <v>65</v>
      </c>
      <c r="K5">
        <v>6</v>
      </c>
      <c r="L5">
        <v>13</v>
      </c>
      <c r="M5" s="36">
        <v>9</v>
      </c>
    </row>
    <row r="6" spans="1:13" x14ac:dyDescent="0.25">
      <c r="A6" s="6" t="s">
        <v>927</v>
      </c>
      <c r="B6">
        <v>34</v>
      </c>
      <c r="C6">
        <v>3</v>
      </c>
      <c r="D6">
        <v>3</v>
      </c>
      <c r="E6">
        <v>1</v>
      </c>
      <c r="F6">
        <v>109</v>
      </c>
      <c r="G6">
        <v>76</v>
      </c>
      <c r="H6" s="23">
        <v>0.69724770642201839</v>
      </c>
      <c r="I6">
        <v>142</v>
      </c>
      <c r="J6">
        <v>312</v>
      </c>
      <c r="K6">
        <v>31</v>
      </c>
      <c r="L6">
        <v>63</v>
      </c>
    </row>
    <row r="8" spans="1:13" x14ac:dyDescent="0.25">
      <c r="A8" s="6" t="s">
        <v>1107</v>
      </c>
      <c r="B8">
        <v>33</v>
      </c>
    </row>
    <row r="9" spans="1:13" x14ac:dyDescent="0.25">
      <c r="A9" t="s">
        <v>1108</v>
      </c>
      <c r="B9">
        <v>9</v>
      </c>
    </row>
    <row r="11" spans="1:13" x14ac:dyDescent="0.25">
      <c r="A11" t="s">
        <v>1102</v>
      </c>
      <c r="B11" t="s">
        <v>154</v>
      </c>
      <c r="C11">
        <v>27</v>
      </c>
      <c r="E11" t="s">
        <v>968</v>
      </c>
      <c r="F11" s="7">
        <f>C11/B8</f>
        <v>0.81818181818181823</v>
      </c>
    </row>
    <row r="12" spans="1:13" x14ac:dyDescent="0.25">
      <c r="B12" t="s">
        <v>1103</v>
      </c>
      <c r="C12">
        <v>7</v>
      </c>
      <c r="E12" t="s">
        <v>968</v>
      </c>
      <c r="F12" s="7">
        <f>C12/B9</f>
        <v>0.77777777777777779</v>
      </c>
    </row>
    <row r="14" spans="1:13" x14ac:dyDescent="0.25">
      <c r="A14" t="s">
        <v>1083</v>
      </c>
      <c r="B14" t="s">
        <v>154</v>
      </c>
      <c r="C14">
        <v>82</v>
      </c>
      <c r="E14" t="s">
        <v>968</v>
      </c>
      <c r="F14" s="7">
        <f>C14/B8</f>
        <v>2.4848484848484849</v>
      </c>
    </row>
    <row r="15" spans="1:13" x14ac:dyDescent="0.25">
      <c r="B15" t="s">
        <v>1103</v>
      </c>
      <c r="C15">
        <v>27</v>
      </c>
      <c r="E15" t="s">
        <v>968</v>
      </c>
      <c r="F15" s="7">
        <f>C15/B9</f>
        <v>3</v>
      </c>
    </row>
    <row r="17" spans="1:6" x14ac:dyDescent="0.25">
      <c r="A17" t="s">
        <v>1085</v>
      </c>
      <c r="B17" t="s">
        <v>154</v>
      </c>
      <c r="C17">
        <v>56</v>
      </c>
      <c r="E17" t="s">
        <v>968</v>
      </c>
      <c r="F17" s="7">
        <f>C17/B8</f>
        <v>1.696969696969697</v>
      </c>
    </row>
    <row r="18" spans="1:6" x14ac:dyDescent="0.25">
      <c r="B18" t="s">
        <v>1103</v>
      </c>
      <c r="C18">
        <v>20</v>
      </c>
      <c r="E18" t="s">
        <v>968</v>
      </c>
      <c r="F18" s="7">
        <f>C18/B9</f>
        <v>2.2222222222222223</v>
      </c>
    </row>
    <row r="19" spans="1:6" x14ac:dyDescent="0.25">
      <c r="F19" s="7"/>
    </row>
    <row r="20" spans="1:6" x14ac:dyDescent="0.25">
      <c r="A20" t="s">
        <v>564</v>
      </c>
      <c r="B20" t="s">
        <v>154</v>
      </c>
      <c r="C20" s="41">
        <v>27.2</v>
      </c>
      <c r="E20" t="s">
        <v>968</v>
      </c>
      <c r="F20" s="7">
        <f>C20/B8</f>
        <v>0.82424242424242422</v>
      </c>
    </row>
    <row r="21" spans="1:6" x14ac:dyDescent="0.25">
      <c r="B21" t="s">
        <v>1103</v>
      </c>
      <c r="C21" s="42">
        <v>9</v>
      </c>
      <c r="E21" t="s">
        <v>968</v>
      </c>
      <c r="F21" s="7">
        <f>C21/B9</f>
        <v>1</v>
      </c>
    </row>
    <row r="22" spans="1:6" x14ac:dyDescent="0.25">
      <c r="F22" s="7"/>
    </row>
    <row r="23" spans="1:6" x14ac:dyDescent="0.25">
      <c r="A23" t="s">
        <v>1105</v>
      </c>
      <c r="B23" t="s">
        <v>154</v>
      </c>
      <c r="C23" s="23">
        <v>0.68</v>
      </c>
      <c r="F23" s="7"/>
    </row>
    <row r="24" spans="1:6" x14ac:dyDescent="0.25">
      <c r="B24" t="s">
        <v>1103</v>
      </c>
      <c r="C24" s="23">
        <v>0.74</v>
      </c>
      <c r="F24" s="7"/>
    </row>
    <row r="25" spans="1:6" x14ac:dyDescent="0.25">
      <c r="F25" s="7"/>
    </row>
    <row r="26" spans="1:6" x14ac:dyDescent="0.25">
      <c r="A26" t="s">
        <v>1106</v>
      </c>
      <c r="B26" t="s">
        <v>154</v>
      </c>
      <c r="C26">
        <v>50</v>
      </c>
      <c r="E26" t="s">
        <v>968</v>
      </c>
      <c r="F26" s="7">
        <f>C26/B8</f>
        <v>1.5151515151515151</v>
      </c>
    </row>
    <row r="27" spans="1:6" x14ac:dyDescent="0.25">
      <c r="B27" t="s">
        <v>1103</v>
      </c>
      <c r="C27">
        <v>13</v>
      </c>
      <c r="E27" t="s">
        <v>968</v>
      </c>
      <c r="F27" s="7">
        <f>C27/B9</f>
        <v>1.4444444444444444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4C95-C053-4952-910F-7BC225404234}">
  <dimension ref="A1:P7"/>
  <sheetViews>
    <sheetView topLeftCell="E1" workbookViewId="0">
      <selection activeCell="J11" sqref="J11"/>
    </sheetView>
  </sheetViews>
  <sheetFormatPr defaultRowHeight="15" x14ac:dyDescent="0.25"/>
  <cols>
    <col min="1" max="1" width="14.7109375" bestFit="1" customWidth="1"/>
    <col min="2" max="3" width="11.42578125" bestFit="1" customWidth="1"/>
    <col min="4" max="4" width="14" customWidth="1"/>
    <col min="5" max="5" width="11.42578125" bestFit="1" customWidth="1"/>
    <col min="6" max="6" width="13" customWidth="1"/>
    <col min="7" max="7" width="11.42578125" bestFit="1" customWidth="1"/>
    <col min="8" max="8" width="12.42578125" bestFit="1" customWidth="1"/>
    <col min="9" max="9" width="15.28515625" customWidth="1"/>
    <col min="10" max="10" width="12.42578125" customWidth="1"/>
    <col min="11" max="11" width="12.42578125" bestFit="1" customWidth="1"/>
    <col min="12" max="12" width="24.85546875" customWidth="1"/>
    <col min="13" max="13" width="12.42578125" bestFit="1" customWidth="1"/>
    <col min="14" max="14" width="14.85546875" customWidth="1"/>
    <col min="15" max="15" width="15.42578125" customWidth="1"/>
    <col min="16" max="16" width="2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1082</v>
      </c>
      <c r="J1" t="s">
        <v>1084</v>
      </c>
      <c r="K1" t="s">
        <v>10</v>
      </c>
      <c r="L1" t="s">
        <v>14</v>
      </c>
      <c r="M1" t="s">
        <v>16</v>
      </c>
      <c r="N1" t="s">
        <v>24</v>
      </c>
      <c r="O1" t="s">
        <v>25</v>
      </c>
      <c r="P1" t="s">
        <v>27</v>
      </c>
    </row>
    <row r="2" spans="1:16" x14ac:dyDescent="0.25">
      <c r="A2" t="s">
        <v>30</v>
      </c>
      <c r="B2" t="s">
        <v>30</v>
      </c>
      <c r="C2" t="s">
        <v>30</v>
      </c>
    </row>
    <row r="3" spans="1:16" x14ac:dyDescent="0.25">
      <c r="A3" t="s">
        <v>36</v>
      </c>
      <c r="B3" t="s">
        <v>37</v>
      </c>
      <c r="C3" t="s">
        <v>38</v>
      </c>
      <c r="D3" t="s">
        <v>1077</v>
      </c>
      <c r="E3" t="s">
        <v>1078</v>
      </c>
      <c r="F3" t="s">
        <v>1079</v>
      </c>
      <c r="G3" t="s">
        <v>1080</v>
      </c>
      <c r="H3" t="s">
        <v>1081</v>
      </c>
      <c r="I3" t="s">
        <v>1083</v>
      </c>
      <c r="J3" t="s">
        <v>1085</v>
      </c>
      <c r="K3" t="s">
        <v>564</v>
      </c>
      <c r="L3" t="s">
        <v>1087</v>
      </c>
      <c r="M3" t="s">
        <v>1086</v>
      </c>
      <c r="N3" t="s">
        <v>1088</v>
      </c>
      <c r="O3" t="s">
        <v>1089</v>
      </c>
      <c r="P3" t="s">
        <v>1090</v>
      </c>
    </row>
    <row r="4" spans="1:16" x14ac:dyDescent="0.25">
      <c r="A4" t="s">
        <v>154</v>
      </c>
      <c r="B4" t="s">
        <v>907</v>
      </c>
      <c r="C4" t="s">
        <v>156</v>
      </c>
      <c r="D4">
        <v>27</v>
      </c>
      <c r="E4">
        <v>3</v>
      </c>
      <c r="F4">
        <v>0</v>
      </c>
      <c r="G4">
        <v>2</v>
      </c>
      <c r="H4">
        <v>1</v>
      </c>
      <c r="I4">
        <v>82</v>
      </c>
      <c r="J4">
        <v>56</v>
      </c>
      <c r="K4">
        <v>27.2</v>
      </c>
      <c r="L4">
        <v>114</v>
      </c>
      <c r="M4" t="s">
        <v>576</v>
      </c>
      <c r="N4">
        <v>247</v>
      </c>
      <c r="O4">
        <v>25</v>
      </c>
      <c r="P4">
        <v>50</v>
      </c>
    </row>
    <row r="5" spans="1:16" x14ac:dyDescent="0.25">
      <c r="A5" t="s">
        <v>211</v>
      </c>
      <c r="B5" t="s">
        <v>908</v>
      </c>
      <c r="C5" t="s">
        <v>156</v>
      </c>
      <c r="D5">
        <v>7</v>
      </c>
      <c r="E5">
        <v>0</v>
      </c>
      <c r="F5">
        <v>0</v>
      </c>
      <c r="G5">
        <v>1</v>
      </c>
      <c r="H5">
        <v>0</v>
      </c>
      <c r="I5">
        <v>27</v>
      </c>
      <c r="J5">
        <v>20</v>
      </c>
      <c r="K5">
        <v>9</v>
      </c>
      <c r="L5">
        <v>28</v>
      </c>
      <c r="M5" t="s">
        <v>577</v>
      </c>
      <c r="N5">
        <v>65</v>
      </c>
      <c r="O5">
        <v>6</v>
      </c>
      <c r="P5">
        <v>13</v>
      </c>
    </row>
    <row r="6" spans="1:16" x14ac:dyDescent="0.25">
      <c r="A6" t="s">
        <v>261</v>
      </c>
      <c r="B6" t="s">
        <v>30</v>
      </c>
      <c r="C6" t="s">
        <v>30</v>
      </c>
      <c r="D6">
        <v>34</v>
      </c>
      <c r="E6">
        <v>3</v>
      </c>
      <c r="F6">
        <v>0</v>
      </c>
      <c r="G6">
        <v>3</v>
      </c>
      <c r="H6">
        <v>1</v>
      </c>
      <c r="I6">
        <v>109</v>
      </c>
      <c r="J6">
        <v>76</v>
      </c>
      <c r="K6">
        <v>36.200000000000003</v>
      </c>
      <c r="L6">
        <v>142</v>
      </c>
      <c r="M6" t="s">
        <v>579</v>
      </c>
      <c r="N6">
        <v>312</v>
      </c>
      <c r="O6">
        <v>31</v>
      </c>
      <c r="P6">
        <v>63</v>
      </c>
    </row>
    <row r="7" spans="1:16" x14ac:dyDescent="0.25">
      <c r="A7" t="s">
        <v>280</v>
      </c>
      <c r="B7" t="s">
        <v>30</v>
      </c>
      <c r="C7" t="s">
        <v>30</v>
      </c>
      <c r="D7">
        <v>96</v>
      </c>
      <c r="E7">
        <v>9</v>
      </c>
      <c r="F7">
        <v>3</v>
      </c>
      <c r="G7">
        <v>11</v>
      </c>
      <c r="H7">
        <v>2</v>
      </c>
      <c r="K7">
        <v>89.5</v>
      </c>
      <c r="L7">
        <v>176</v>
      </c>
      <c r="M7" t="s">
        <v>580</v>
      </c>
      <c r="N7">
        <v>521</v>
      </c>
      <c r="O7">
        <v>28</v>
      </c>
      <c r="P7">
        <v>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2245-3F10-4D06-A80F-005FE75F27B9}">
  <dimension ref="A1:AB31"/>
  <sheetViews>
    <sheetView workbookViewId="0">
      <selection activeCell="D4" sqref="D4"/>
    </sheetView>
  </sheetViews>
  <sheetFormatPr defaultRowHeight="15" x14ac:dyDescent="0.25"/>
  <cols>
    <col min="1" max="1" width="21.85546875" bestFit="1" customWidth="1"/>
    <col min="2" max="9" width="11.42578125" bestFit="1" customWidth="1"/>
    <col min="10" max="28" width="12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30</v>
      </c>
      <c r="B2" t="s">
        <v>30</v>
      </c>
      <c r="C2" t="s">
        <v>30</v>
      </c>
      <c r="D2" t="s">
        <v>30</v>
      </c>
      <c r="E2" t="s">
        <v>30</v>
      </c>
      <c r="F2" t="s">
        <v>581</v>
      </c>
      <c r="G2" t="s">
        <v>581</v>
      </c>
      <c r="H2" t="s">
        <v>581</v>
      </c>
      <c r="I2" t="s">
        <v>581</v>
      </c>
      <c r="J2" t="s">
        <v>581</v>
      </c>
      <c r="K2" t="s">
        <v>581</v>
      </c>
      <c r="L2" t="s">
        <v>581</v>
      </c>
      <c r="M2" t="s">
        <v>582</v>
      </c>
      <c r="N2" t="s">
        <v>582</v>
      </c>
      <c r="O2" t="s">
        <v>582</v>
      </c>
      <c r="P2" t="s">
        <v>582</v>
      </c>
      <c r="Q2" t="s">
        <v>582</v>
      </c>
      <c r="R2" t="s">
        <v>583</v>
      </c>
      <c r="S2" t="s">
        <v>583</v>
      </c>
      <c r="T2" t="s">
        <v>583</v>
      </c>
      <c r="U2" t="s">
        <v>583</v>
      </c>
      <c r="V2" t="s">
        <v>583</v>
      </c>
      <c r="W2" t="s">
        <v>583</v>
      </c>
      <c r="X2" t="s">
        <v>583</v>
      </c>
      <c r="Y2" t="s">
        <v>583</v>
      </c>
      <c r="Z2" t="s">
        <v>584</v>
      </c>
      <c r="AA2" t="s">
        <v>584</v>
      </c>
      <c r="AB2" t="s">
        <v>30</v>
      </c>
    </row>
    <row r="3" spans="1:28" x14ac:dyDescent="0.25">
      <c r="A3" t="s">
        <v>36</v>
      </c>
      <c r="B3" t="s">
        <v>37</v>
      </c>
      <c r="C3" t="s">
        <v>38</v>
      </c>
      <c r="D3" t="s">
        <v>39</v>
      </c>
      <c r="E3" t="s">
        <v>42</v>
      </c>
      <c r="F3" t="s">
        <v>581</v>
      </c>
      <c r="G3" t="s">
        <v>585</v>
      </c>
      <c r="H3" t="s">
        <v>542</v>
      </c>
      <c r="I3" t="s">
        <v>543</v>
      </c>
      <c r="J3" t="s">
        <v>544</v>
      </c>
      <c r="K3" t="s">
        <v>586</v>
      </c>
      <c r="L3" t="s">
        <v>587</v>
      </c>
      <c r="M3" t="s">
        <v>406</v>
      </c>
      <c r="N3" t="s">
        <v>588</v>
      </c>
      <c r="O3" t="s">
        <v>589</v>
      </c>
      <c r="P3" t="s">
        <v>590</v>
      </c>
      <c r="Q3" t="s">
        <v>591</v>
      </c>
      <c r="R3" t="s">
        <v>583</v>
      </c>
      <c r="S3" t="s">
        <v>407</v>
      </c>
      <c r="T3" t="s">
        <v>408</v>
      </c>
      <c r="U3" t="s">
        <v>47</v>
      </c>
      <c r="V3" t="s">
        <v>410</v>
      </c>
      <c r="W3" t="s">
        <v>592</v>
      </c>
      <c r="X3" t="s">
        <v>593</v>
      </c>
      <c r="Y3" t="s">
        <v>594</v>
      </c>
      <c r="Z3" t="s">
        <v>595</v>
      </c>
      <c r="AA3" t="s">
        <v>48</v>
      </c>
      <c r="AB3" t="s">
        <v>49</v>
      </c>
    </row>
    <row r="4" spans="1:28" x14ac:dyDescent="0.25">
      <c r="A4" t="s">
        <v>50</v>
      </c>
      <c r="B4" t="s">
        <v>51</v>
      </c>
      <c r="C4" t="s">
        <v>52</v>
      </c>
      <c r="D4" t="s">
        <v>411</v>
      </c>
      <c r="E4" t="s">
        <v>54</v>
      </c>
      <c r="F4" t="s">
        <v>596</v>
      </c>
      <c r="G4" t="s">
        <v>112</v>
      </c>
      <c r="H4" t="s">
        <v>200</v>
      </c>
      <c r="I4" t="s">
        <v>501</v>
      </c>
      <c r="J4" t="s">
        <v>553</v>
      </c>
      <c r="K4" t="s">
        <v>464</v>
      </c>
      <c r="L4" t="s">
        <v>597</v>
      </c>
      <c r="M4" t="s">
        <v>369</v>
      </c>
      <c r="N4" t="s">
        <v>197</v>
      </c>
      <c r="O4" t="s">
        <v>494</v>
      </c>
      <c r="P4" t="s">
        <v>180</v>
      </c>
      <c r="Q4" t="s">
        <v>598</v>
      </c>
      <c r="R4" t="s">
        <v>446</v>
      </c>
      <c r="S4" t="s">
        <v>599</v>
      </c>
      <c r="T4" t="s">
        <v>456</v>
      </c>
      <c r="U4" t="s">
        <v>64</v>
      </c>
      <c r="V4" t="s">
        <v>180</v>
      </c>
      <c r="W4" t="s">
        <v>65</v>
      </c>
      <c r="X4" t="s">
        <v>218</v>
      </c>
      <c r="Y4" t="s">
        <v>112</v>
      </c>
      <c r="Z4" t="s">
        <v>600</v>
      </c>
      <c r="AA4" t="s">
        <v>66</v>
      </c>
      <c r="AB4" t="s">
        <v>49</v>
      </c>
    </row>
    <row r="5" spans="1:28" x14ac:dyDescent="0.25">
      <c r="A5" t="s">
        <v>75</v>
      </c>
      <c r="B5" t="s">
        <v>76</v>
      </c>
      <c r="C5" t="s">
        <v>77</v>
      </c>
      <c r="D5" t="s">
        <v>416</v>
      </c>
      <c r="E5" t="s">
        <v>80</v>
      </c>
      <c r="F5" t="s">
        <v>601</v>
      </c>
      <c r="G5" t="s">
        <v>140</v>
      </c>
      <c r="H5" t="s">
        <v>602</v>
      </c>
      <c r="I5" t="s">
        <v>603</v>
      </c>
      <c r="J5" t="s">
        <v>223</v>
      </c>
      <c r="K5" t="s">
        <v>488</v>
      </c>
      <c r="L5" t="s">
        <v>601</v>
      </c>
      <c r="M5" t="s">
        <v>324</v>
      </c>
      <c r="N5" t="s">
        <v>55</v>
      </c>
      <c r="O5" t="s">
        <v>604</v>
      </c>
      <c r="P5" t="s">
        <v>145</v>
      </c>
      <c r="Q5" t="s">
        <v>545</v>
      </c>
      <c r="R5" t="s">
        <v>605</v>
      </c>
      <c r="S5" t="s">
        <v>423</v>
      </c>
      <c r="T5" t="s">
        <v>606</v>
      </c>
      <c r="U5" t="s">
        <v>85</v>
      </c>
      <c r="V5" t="s">
        <v>607</v>
      </c>
      <c r="W5" t="s">
        <v>208</v>
      </c>
      <c r="X5" t="s">
        <v>185</v>
      </c>
      <c r="Y5" t="s">
        <v>180</v>
      </c>
      <c r="Z5" t="s">
        <v>608</v>
      </c>
      <c r="AA5" t="s">
        <v>87</v>
      </c>
      <c r="AB5" t="s">
        <v>49</v>
      </c>
    </row>
    <row r="6" spans="1:28" x14ac:dyDescent="0.25">
      <c r="A6" t="s">
        <v>95</v>
      </c>
      <c r="B6" t="s">
        <v>96</v>
      </c>
      <c r="C6" t="s">
        <v>97</v>
      </c>
      <c r="D6" t="s">
        <v>419</v>
      </c>
      <c r="E6" t="s">
        <v>98</v>
      </c>
      <c r="F6" t="s">
        <v>609</v>
      </c>
      <c r="G6" t="s">
        <v>284</v>
      </c>
      <c r="H6" t="s">
        <v>446</v>
      </c>
      <c r="I6" t="s">
        <v>561</v>
      </c>
      <c r="J6" t="s">
        <v>610</v>
      </c>
      <c r="K6" t="s">
        <v>201</v>
      </c>
      <c r="L6" t="s">
        <v>609</v>
      </c>
      <c r="M6" t="s">
        <v>268</v>
      </c>
      <c r="N6" t="s">
        <v>79</v>
      </c>
      <c r="O6" t="s">
        <v>519</v>
      </c>
      <c r="P6" t="s">
        <v>112</v>
      </c>
      <c r="Q6" t="s">
        <v>611</v>
      </c>
      <c r="R6" t="s">
        <v>612</v>
      </c>
      <c r="S6" t="s">
        <v>613</v>
      </c>
      <c r="T6" t="s">
        <v>614</v>
      </c>
      <c r="U6" t="s">
        <v>104</v>
      </c>
      <c r="V6" t="s">
        <v>266</v>
      </c>
      <c r="W6" t="s">
        <v>282</v>
      </c>
      <c r="X6" t="s">
        <v>64</v>
      </c>
      <c r="Y6" t="s">
        <v>339</v>
      </c>
      <c r="Z6" t="s">
        <v>615</v>
      </c>
      <c r="AA6" t="s">
        <v>106</v>
      </c>
      <c r="AB6" t="s">
        <v>49</v>
      </c>
    </row>
    <row r="7" spans="1:28" x14ac:dyDescent="0.25">
      <c r="A7" t="s">
        <v>110</v>
      </c>
      <c r="B7" t="s">
        <v>111</v>
      </c>
      <c r="C7" t="s">
        <v>77</v>
      </c>
      <c r="D7" t="s">
        <v>422</v>
      </c>
      <c r="E7" t="s">
        <v>113</v>
      </c>
      <c r="F7" t="s">
        <v>616</v>
      </c>
      <c r="G7" t="s">
        <v>521</v>
      </c>
      <c r="H7" t="s">
        <v>617</v>
      </c>
      <c r="I7" t="s">
        <v>618</v>
      </c>
      <c r="J7" t="s">
        <v>619</v>
      </c>
      <c r="K7" t="s">
        <v>186</v>
      </c>
      <c r="L7" t="s">
        <v>616</v>
      </c>
      <c r="M7" t="s">
        <v>56</v>
      </c>
      <c r="N7" t="s">
        <v>56</v>
      </c>
      <c r="O7" t="s">
        <v>435</v>
      </c>
      <c r="P7" t="s">
        <v>60</v>
      </c>
      <c r="Q7" t="s">
        <v>158</v>
      </c>
      <c r="R7" t="s">
        <v>620</v>
      </c>
      <c r="S7" t="s">
        <v>621</v>
      </c>
      <c r="T7" t="s">
        <v>622</v>
      </c>
      <c r="U7" t="s">
        <v>118</v>
      </c>
      <c r="V7" t="s">
        <v>175</v>
      </c>
      <c r="W7" t="s">
        <v>60</v>
      </c>
      <c r="X7" t="s">
        <v>99</v>
      </c>
      <c r="Y7" t="s">
        <v>81</v>
      </c>
      <c r="Z7" t="s">
        <v>492</v>
      </c>
      <c r="AA7" t="s">
        <v>100</v>
      </c>
      <c r="AB7" t="s">
        <v>49</v>
      </c>
    </row>
    <row r="8" spans="1:28" x14ac:dyDescent="0.25">
      <c r="A8" t="s">
        <v>122</v>
      </c>
      <c r="B8" t="s">
        <v>76</v>
      </c>
      <c r="C8" t="s">
        <v>123</v>
      </c>
      <c r="D8" t="s">
        <v>427</v>
      </c>
      <c r="E8" t="s">
        <v>124</v>
      </c>
      <c r="F8" t="s">
        <v>623</v>
      </c>
      <c r="G8" t="s">
        <v>148</v>
      </c>
      <c r="H8" t="s">
        <v>460</v>
      </c>
      <c r="I8" t="s">
        <v>624</v>
      </c>
      <c r="J8" t="s">
        <v>549</v>
      </c>
      <c r="K8" t="s">
        <v>129</v>
      </c>
      <c r="L8" t="s">
        <v>623</v>
      </c>
      <c r="M8" t="s">
        <v>139</v>
      </c>
      <c r="N8" t="s">
        <v>185</v>
      </c>
      <c r="O8" t="s">
        <v>625</v>
      </c>
      <c r="P8" t="s">
        <v>145</v>
      </c>
      <c r="Q8" t="s">
        <v>626</v>
      </c>
      <c r="R8" t="s">
        <v>627</v>
      </c>
      <c r="S8" t="s">
        <v>628</v>
      </c>
      <c r="T8" t="s">
        <v>629</v>
      </c>
      <c r="U8" t="s">
        <v>128</v>
      </c>
      <c r="V8" t="s">
        <v>175</v>
      </c>
      <c r="W8" t="s">
        <v>56</v>
      </c>
      <c r="X8" t="s">
        <v>65</v>
      </c>
      <c r="Y8" t="s">
        <v>57</v>
      </c>
      <c r="Z8" t="s">
        <v>630</v>
      </c>
      <c r="AA8" t="s">
        <v>129</v>
      </c>
      <c r="AB8" t="s">
        <v>49</v>
      </c>
    </row>
    <row r="9" spans="1:28" x14ac:dyDescent="0.25">
      <c r="A9" t="s">
        <v>133</v>
      </c>
      <c r="B9" t="s">
        <v>134</v>
      </c>
      <c r="C9" t="s">
        <v>135</v>
      </c>
      <c r="D9" t="s">
        <v>429</v>
      </c>
      <c r="E9" t="s">
        <v>136</v>
      </c>
      <c r="F9" t="s">
        <v>631</v>
      </c>
      <c r="G9" t="s">
        <v>148</v>
      </c>
      <c r="H9" t="s">
        <v>632</v>
      </c>
      <c r="I9" t="s">
        <v>633</v>
      </c>
      <c r="J9" t="s">
        <v>441</v>
      </c>
      <c r="K9" t="s">
        <v>474</v>
      </c>
      <c r="L9" t="s">
        <v>631</v>
      </c>
      <c r="M9" t="s">
        <v>129</v>
      </c>
      <c r="N9" t="s">
        <v>100</v>
      </c>
      <c r="O9" t="s">
        <v>471</v>
      </c>
      <c r="P9" t="s">
        <v>188</v>
      </c>
      <c r="Q9" t="s">
        <v>634</v>
      </c>
      <c r="R9" t="s">
        <v>635</v>
      </c>
      <c r="S9" t="s">
        <v>636</v>
      </c>
      <c r="T9" t="s">
        <v>637</v>
      </c>
      <c r="U9" t="s">
        <v>139</v>
      </c>
      <c r="V9" t="s">
        <v>339</v>
      </c>
      <c r="W9" t="s">
        <v>188</v>
      </c>
      <c r="X9" t="s">
        <v>185</v>
      </c>
      <c r="Y9" t="s">
        <v>64</v>
      </c>
      <c r="Z9" t="s">
        <v>638</v>
      </c>
      <c r="AA9" t="s">
        <v>141</v>
      </c>
      <c r="AB9" t="s">
        <v>49</v>
      </c>
    </row>
    <row r="10" spans="1:28" x14ac:dyDescent="0.25">
      <c r="A10" t="s">
        <v>142</v>
      </c>
      <c r="B10" t="s">
        <v>134</v>
      </c>
      <c r="C10" t="s">
        <v>97</v>
      </c>
      <c r="D10" t="s">
        <v>431</v>
      </c>
      <c r="E10" t="s">
        <v>143</v>
      </c>
      <c r="F10" t="s">
        <v>639</v>
      </c>
      <c r="G10" t="s">
        <v>208</v>
      </c>
      <c r="H10" t="s">
        <v>244</v>
      </c>
      <c r="I10" t="s">
        <v>640</v>
      </c>
      <c r="J10" t="s">
        <v>641</v>
      </c>
      <c r="K10" t="s">
        <v>504</v>
      </c>
      <c r="L10" t="s">
        <v>639</v>
      </c>
      <c r="M10" t="s">
        <v>311</v>
      </c>
      <c r="N10" t="s">
        <v>197</v>
      </c>
      <c r="O10" t="s">
        <v>537</v>
      </c>
      <c r="P10" t="s">
        <v>129</v>
      </c>
      <c r="Q10" t="s">
        <v>547</v>
      </c>
      <c r="R10" t="s">
        <v>642</v>
      </c>
      <c r="S10" t="s">
        <v>643</v>
      </c>
      <c r="T10" t="s">
        <v>644</v>
      </c>
      <c r="U10" t="s">
        <v>148</v>
      </c>
      <c r="V10" t="s">
        <v>78</v>
      </c>
      <c r="W10" t="s">
        <v>186</v>
      </c>
      <c r="X10" t="s">
        <v>252</v>
      </c>
      <c r="Y10" t="s">
        <v>78</v>
      </c>
      <c r="Z10" t="s">
        <v>424</v>
      </c>
      <c r="AA10" t="s">
        <v>149</v>
      </c>
      <c r="AB10" t="s">
        <v>49</v>
      </c>
    </row>
    <row r="11" spans="1:28" x14ac:dyDescent="0.25">
      <c r="A11" t="s">
        <v>154</v>
      </c>
      <c r="B11" t="s">
        <v>155</v>
      </c>
      <c r="C11" t="s">
        <v>156</v>
      </c>
      <c r="D11" t="s">
        <v>434</v>
      </c>
      <c r="E11" t="s">
        <v>157</v>
      </c>
      <c r="F11" t="s">
        <v>645</v>
      </c>
      <c r="G11" t="s">
        <v>646</v>
      </c>
      <c r="H11" t="s">
        <v>647</v>
      </c>
      <c r="I11" t="s">
        <v>145</v>
      </c>
      <c r="J11" t="s">
        <v>60</v>
      </c>
      <c r="K11" t="s">
        <v>60</v>
      </c>
      <c r="L11" t="s">
        <v>645</v>
      </c>
      <c r="M11" t="s">
        <v>60</v>
      </c>
      <c r="N11" t="s">
        <v>60</v>
      </c>
      <c r="O11" t="s">
        <v>30</v>
      </c>
      <c r="P11" t="s">
        <v>60</v>
      </c>
      <c r="Q11" t="s">
        <v>30</v>
      </c>
      <c r="R11" t="s">
        <v>648</v>
      </c>
      <c r="S11" t="s">
        <v>649</v>
      </c>
      <c r="T11" t="s">
        <v>650</v>
      </c>
      <c r="U11" t="s">
        <v>60</v>
      </c>
      <c r="V11" t="s">
        <v>60</v>
      </c>
      <c r="W11" t="s">
        <v>60</v>
      </c>
      <c r="X11" t="s">
        <v>59</v>
      </c>
      <c r="Y11" t="s">
        <v>60</v>
      </c>
      <c r="Z11" t="s">
        <v>648</v>
      </c>
      <c r="AA11" t="s">
        <v>60</v>
      </c>
      <c r="AB11" t="s">
        <v>49</v>
      </c>
    </row>
    <row r="12" spans="1:28" x14ac:dyDescent="0.25">
      <c r="A12" t="s">
        <v>161</v>
      </c>
      <c r="B12" t="s">
        <v>162</v>
      </c>
      <c r="C12" t="s">
        <v>123</v>
      </c>
      <c r="D12" t="s">
        <v>437</v>
      </c>
      <c r="E12" t="s">
        <v>163</v>
      </c>
      <c r="F12" t="s">
        <v>651</v>
      </c>
      <c r="G12" t="s">
        <v>252</v>
      </c>
      <c r="H12" t="s">
        <v>527</v>
      </c>
      <c r="I12" t="s">
        <v>502</v>
      </c>
      <c r="J12" t="s">
        <v>559</v>
      </c>
      <c r="K12" t="s">
        <v>128</v>
      </c>
      <c r="L12" t="s">
        <v>651</v>
      </c>
      <c r="M12" t="s">
        <v>78</v>
      </c>
      <c r="N12" t="s">
        <v>180</v>
      </c>
      <c r="O12" t="s">
        <v>652</v>
      </c>
      <c r="P12" t="s">
        <v>100</v>
      </c>
      <c r="Q12" t="s">
        <v>653</v>
      </c>
      <c r="R12" t="s">
        <v>654</v>
      </c>
      <c r="S12" t="s">
        <v>655</v>
      </c>
      <c r="T12" t="s">
        <v>656</v>
      </c>
      <c r="U12" t="s">
        <v>148</v>
      </c>
      <c r="V12" t="s">
        <v>148</v>
      </c>
      <c r="W12" t="s">
        <v>144</v>
      </c>
      <c r="X12" t="s">
        <v>58</v>
      </c>
      <c r="Y12" t="s">
        <v>65</v>
      </c>
      <c r="Z12" t="s">
        <v>497</v>
      </c>
      <c r="AA12" t="s">
        <v>167</v>
      </c>
      <c r="AB12" t="s">
        <v>49</v>
      </c>
    </row>
    <row r="13" spans="1:28" x14ac:dyDescent="0.25">
      <c r="A13" t="s">
        <v>169</v>
      </c>
      <c r="B13" t="s">
        <v>155</v>
      </c>
      <c r="C13" t="s">
        <v>170</v>
      </c>
      <c r="D13" t="s">
        <v>439</v>
      </c>
      <c r="E13" t="s">
        <v>171</v>
      </c>
      <c r="F13" t="s">
        <v>657</v>
      </c>
      <c r="G13" t="s">
        <v>188</v>
      </c>
      <c r="H13" t="s">
        <v>200</v>
      </c>
      <c r="I13" t="s">
        <v>307</v>
      </c>
      <c r="J13" t="s">
        <v>430</v>
      </c>
      <c r="K13" t="s">
        <v>217</v>
      </c>
      <c r="L13" t="s">
        <v>657</v>
      </c>
      <c r="M13" t="s">
        <v>87</v>
      </c>
      <c r="N13" t="s">
        <v>199</v>
      </c>
      <c r="O13" t="s">
        <v>658</v>
      </c>
      <c r="P13" t="s">
        <v>53</v>
      </c>
      <c r="Q13" t="s">
        <v>659</v>
      </c>
      <c r="R13" t="s">
        <v>641</v>
      </c>
      <c r="S13" t="s">
        <v>660</v>
      </c>
      <c r="T13" t="s">
        <v>661</v>
      </c>
      <c r="U13" t="s">
        <v>174</v>
      </c>
      <c r="V13" t="s">
        <v>284</v>
      </c>
      <c r="W13" t="s">
        <v>420</v>
      </c>
      <c r="X13" t="s">
        <v>302</v>
      </c>
      <c r="Y13" t="s">
        <v>78</v>
      </c>
      <c r="Z13" t="s">
        <v>502</v>
      </c>
      <c r="AA13" t="s">
        <v>176</v>
      </c>
      <c r="AB13" t="s">
        <v>49</v>
      </c>
    </row>
    <row r="14" spans="1:28" x14ac:dyDescent="0.25">
      <c r="A14" t="s">
        <v>179</v>
      </c>
      <c r="B14" t="s">
        <v>96</v>
      </c>
      <c r="C14" t="s">
        <v>77</v>
      </c>
      <c r="D14" t="s">
        <v>442</v>
      </c>
      <c r="E14" t="s">
        <v>181</v>
      </c>
      <c r="F14" t="s">
        <v>662</v>
      </c>
      <c r="G14" t="s">
        <v>201</v>
      </c>
      <c r="H14" t="s">
        <v>663</v>
      </c>
      <c r="I14" t="s">
        <v>664</v>
      </c>
      <c r="J14" t="s">
        <v>506</v>
      </c>
      <c r="K14" t="s">
        <v>65</v>
      </c>
      <c r="L14" t="s">
        <v>662</v>
      </c>
      <c r="M14" t="s">
        <v>59</v>
      </c>
      <c r="N14" t="s">
        <v>60</v>
      </c>
      <c r="O14" t="s">
        <v>158</v>
      </c>
      <c r="P14" t="s">
        <v>59</v>
      </c>
      <c r="Q14" t="s">
        <v>435</v>
      </c>
      <c r="R14" t="s">
        <v>665</v>
      </c>
      <c r="S14" t="s">
        <v>666</v>
      </c>
      <c r="T14" t="s">
        <v>667</v>
      </c>
      <c r="U14" t="s">
        <v>55</v>
      </c>
      <c r="V14" t="s">
        <v>118</v>
      </c>
      <c r="W14" t="s">
        <v>59</v>
      </c>
      <c r="X14" t="s">
        <v>114</v>
      </c>
      <c r="Y14" t="s">
        <v>59</v>
      </c>
      <c r="Z14" t="s">
        <v>668</v>
      </c>
      <c r="AA14" t="s">
        <v>81</v>
      </c>
      <c r="AB14" t="s">
        <v>49</v>
      </c>
    </row>
    <row r="15" spans="1:28" x14ac:dyDescent="0.25">
      <c r="A15" t="s">
        <v>183</v>
      </c>
      <c r="B15" t="s">
        <v>184</v>
      </c>
      <c r="C15" t="s">
        <v>123</v>
      </c>
      <c r="D15" t="s">
        <v>445</v>
      </c>
      <c r="E15" t="s">
        <v>187</v>
      </c>
      <c r="F15" t="s">
        <v>669</v>
      </c>
      <c r="G15" t="s">
        <v>145</v>
      </c>
      <c r="H15" t="s">
        <v>420</v>
      </c>
      <c r="I15" t="s">
        <v>354</v>
      </c>
      <c r="J15" t="s">
        <v>500</v>
      </c>
      <c r="K15" t="s">
        <v>362</v>
      </c>
      <c r="L15" t="s">
        <v>669</v>
      </c>
      <c r="M15" t="s">
        <v>57</v>
      </c>
      <c r="N15" t="s">
        <v>145</v>
      </c>
      <c r="O15" t="s">
        <v>471</v>
      </c>
      <c r="P15" t="s">
        <v>197</v>
      </c>
      <c r="Q15" t="s">
        <v>670</v>
      </c>
      <c r="R15" t="s">
        <v>671</v>
      </c>
      <c r="S15" t="s">
        <v>672</v>
      </c>
      <c r="T15" t="s">
        <v>673</v>
      </c>
      <c r="U15" t="s">
        <v>191</v>
      </c>
      <c r="V15" t="s">
        <v>200</v>
      </c>
      <c r="W15" t="s">
        <v>129</v>
      </c>
      <c r="X15" t="s">
        <v>64</v>
      </c>
      <c r="Y15" t="s">
        <v>112</v>
      </c>
      <c r="Z15" t="s">
        <v>674</v>
      </c>
      <c r="AA15" t="s">
        <v>192</v>
      </c>
      <c r="AB15" t="s">
        <v>49</v>
      </c>
    </row>
    <row r="16" spans="1:28" x14ac:dyDescent="0.25">
      <c r="A16" t="s">
        <v>196</v>
      </c>
      <c r="B16" t="s">
        <v>96</v>
      </c>
      <c r="C16" t="s">
        <v>135</v>
      </c>
      <c r="D16" t="s">
        <v>448</v>
      </c>
      <c r="E16" t="s">
        <v>198</v>
      </c>
      <c r="F16" t="s">
        <v>675</v>
      </c>
      <c r="G16" t="s">
        <v>112</v>
      </c>
      <c r="H16" t="s">
        <v>546</v>
      </c>
      <c r="I16" t="s">
        <v>676</v>
      </c>
      <c r="J16" t="s">
        <v>677</v>
      </c>
      <c r="K16" t="s">
        <v>266</v>
      </c>
      <c r="L16" t="s">
        <v>675</v>
      </c>
      <c r="M16" t="s">
        <v>369</v>
      </c>
      <c r="N16" t="s">
        <v>186</v>
      </c>
      <c r="O16" t="s">
        <v>678</v>
      </c>
      <c r="P16" t="s">
        <v>197</v>
      </c>
      <c r="Q16" t="s">
        <v>494</v>
      </c>
      <c r="R16" t="s">
        <v>456</v>
      </c>
      <c r="S16" t="s">
        <v>679</v>
      </c>
      <c r="T16" t="s">
        <v>680</v>
      </c>
      <c r="U16" t="s">
        <v>199</v>
      </c>
      <c r="V16" t="s">
        <v>129</v>
      </c>
      <c r="W16" t="s">
        <v>57</v>
      </c>
      <c r="X16" t="s">
        <v>64</v>
      </c>
      <c r="Y16" t="s">
        <v>188</v>
      </c>
      <c r="Z16" t="s">
        <v>681</v>
      </c>
      <c r="AA16" t="s">
        <v>201</v>
      </c>
      <c r="AB16" t="s">
        <v>49</v>
      </c>
    </row>
    <row r="17" spans="1:28" x14ac:dyDescent="0.25">
      <c r="A17" t="s">
        <v>204</v>
      </c>
      <c r="B17" t="s">
        <v>134</v>
      </c>
      <c r="C17" t="s">
        <v>77</v>
      </c>
      <c r="D17" t="s">
        <v>449</v>
      </c>
      <c r="E17" t="s">
        <v>205</v>
      </c>
      <c r="F17" t="s">
        <v>682</v>
      </c>
      <c r="G17" t="s">
        <v>339</v>
      </c>
      <c r="H17" t="s">
        <v>503</v>
      </c>
      <c r="I17" t="s">
        <v>683</v>
      </c>
      <c r="J17" t="s">
        <v>684</v>
      </c>
      <c r="K17" t="s">
        <v>81</v>
      </c>
      <c r="L17" t="s">
        <v>682</v>
      </c>
      <c r="M17" t="s">
        <v>100</v>
      </c>
      <c r="N17" t="s">
        <v>114</v>
      </c>
      <c r="O17" t="s">
        <v>479</v>
      </c>
      <c r="P17" t="s">
        <v>56</v>
      </c>
      <c r="Q17" t="s">
        <v>476</v>
      </c>
      <c r="R17" t="s">
        <v>513</v>
      </c>
      <c r="S17" t="s">
        <v>685</v>
      </c>
      <c r="T17" t="s">
        <v>686</v>
      </c>
      <c r="U17" t="s">
        <v>208</v>
      </c>
      <c r="V17" t="s">
        <v>180</v>
      </c>
      <c r="W17" t="s">
        <v>60</v>
      </c>
      <c r="X17" t="s">
        <v>145</v>
      </c>
      <c r="Y17" t="s">
        <v>56</v>
      </c>
      <c r="Z17" t="s">
        <v>687</v>
      </c>
      <c r="AA17" t="s">
        <v>186</v>
      </c>
      <c r="AB17" t="s">
        <v>49</v>
      </c>
    </row>
    <row r="18" spans="1:28" x14ac:dyDescent="0.25">
      <c r="A18" t="s">
        <v>211</v>
      </c>
      <c r="B18" t="s">
        <v>162</v>
      </c>
      <c r="C18" t="s">
        <v>156</v>
      </c>
      <c r="D18" t="s">
        <v>452</v>
      </c>
      <c r="E18" t="s">
        <v>212</v>
      </c>
      <c r="F18" t="s">
        <v>688</v>
      </c>
      <c r="G18" t="s">
        <v>493</v>
      </c>
      <c r="H18" t="s">
        <v>689</v>
      </c>
      <c r="I18" t="s">
        <v>56</v>
      </c>
      <c r="J18" t="s">
        <v>60</v>
      </c>
      <c r="K18" t="s">
        <v>60</v>
      </c>
      <c r="L18" t="s">
        <v>688</v>
      </c>
      <c r="M18" t="s">
        <v>60</v>
      </c>
      <c r="N18" t="s">
        <v>60</v>
      </c>
      <c r="O18" t="s">
        <v>30</v>
      </c>
      <c r="P18" t="s">
        <v>60</v>
      </c>
      <c r="Q18" t="s">
        <v>30</v>
      </c>
      <c r="R18" t="s">
        <v>446</v>
      </c>
      <c r="S18" t="s">
        <v>690</v>
      </c>
      <c r="T18" t="s">
        <v>691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507</v>
      </c>
      <c r="AA18" t="s">
        <v>60</v>
      </c>
      <c r="AB18" t="s">
        <v>49</v>
      </c>
    </row>
    <row r="19" spans="1:28" x14ac:dyDescent="0.25">
      <c r="A19" t="s">
        <v>213</v>
      </c>
      <c r="B19" t="s">
        <v>184</v>
      </c>
      <c r="C19" t="s">
        <v>170</v>
      </c>
      <c r="D19" t="s">
        <v>453</v>
      </c>
      <c r="E19" t="s">
        <v>214</v>
      </c>
      <c r="F19" t="s">
        <v>692</v>
      </c>
      <c r="G19" t="s">
        <v>114</v>
      </c>
      <c r="H19" t="s">
        <v>252</v>
      </c>
      <c r="I19" t="s">
        <v>348</v>
      </c>
      <c r="J19" t="s">
        <v>432</v>
      </c>
      <c r="K19" t="s">
        <v>104</v>
      </c>
      <c r="L19" t="s">
        <v>692</v>
      </c>
      <c r="M19" t="s">
        <v>105</v>
      </c>
      <c r="N19" t="s">
        <v>486</v>
      </c>
      <c r="O19" t="s">
        <v>508</v>
      </c>
      <c r="P19" t="s">
        <v>282</v>
      </c>
      <c r="Q19" t="s">
        <v>693</v>
      </c>
      <c r="R19" t="s">
        <v>694</v>
      </c>
      <c r="S19" t="s">
        <v>695</v>
      </c>
      <c r="T19" t="s">
        <v>696</v>
      </c>
      <c r="U19" t="s">
        <v>217</v>
      </c>
      <c r="V19" t="s">
        <v>475</v>
      </c>
      <c r="W19" t="s">
        <v>475</v>
      </c>
      <c r="X19" t="s">
        <v>324</v>
      </c>
      <c r="Y19" t="s">
        <v>324</v>
      </c>
      <c r="Z19" t="s">
        <v>697</v>
      </c>
      <c r="AA19" t="s">
        <v>219</v>
      </c>
      <c r="AB19" t="s">
        <v>49</v>
      </c>
    </row>
    <row r="20" spans="1:28" x14ac:dyDescent="0.25">
      <c r="A20" t="s">
        <v>221</v>
      </c>
      <c r="B20" t="s">
        <v>222</v>
      </c>
      <c r="C20" t="s">
        <v>77</v>
      </c>
      <c r="D20" t="s">
        <v>455</v>
      </c>
      <c r="E20" t="s">
        <v>224</v>
      </c>
      <c r="F20" t="s">
        <v>698</v>
      </c>
      <c r="G20" t="s">
        <v>266</v>
      </c>
      <c r="H20" t="s">
        <v>632</v>
      </c>
      <c r="I20" t="s">
        <v>699</v>
      </c>
      <c r="J20" t="s">
        <v>141</v>
      </c>
      <c r="K20" t="s">
        <v>99</v>
      </c>
      <c r="L20" t="s">
        <v>698</v>
      </c>
      <c r="M20" t="s">
        <v>59</v>
      </c>
      <c r="N20" t="s">
        <v>59</v>
      </c>
      <c r="O20" t="s">
        <v>435</v>
      </c>
      <c r="P20" t="s">
        <v>60</v>
      </c>
      <c r="Q20" t="s">
        <v>158</v>
      </c>
      <c r="R20" t="s">
        <v>700</v>
      </c>
      <c r="S20" t="s">
        <v>701</v>
      </c>
      <c r="T20" t="s">
        <v>702</v>
      </c>
      <c r="U20" t="s">
        <v>186</v>
      </c>
      <c r="V20" t="s">
        <v>186</v>
      </c>
      <c r="W20" t="s">
        <v>59</v>
      </c>
      <c r="X20" t="s">
        <v>56</v>
      </c>
      <c r="Y20" t="s">
        <v>114</v>
      </c>
      <c r="Z20" t="s">
        <v>703</v>
      </c>
      <c r="AA20" t="s">
        <v>56</v>
      </c>
      <c r="AB20" t="s">
        <v>49</v>
      </c>
    </row>
    <row r="21" spans="1:28" x14ac:dyDescent="0.25">
      <c r="A21" t="s">
        <v>226</v>
      </c>
      <c r="B21" t="s">
        <v>134</v>
      </c>
      <c r="C21" t="s">
        <v>170</v>
      </c>
      <c r="D21" t="s">
        <v>459</v>
      </c>
      <c r="E21" t="s">
        <v>227</v>
      </c>
      <c r="F21" t="s">
        <v>704</v>
      </c>
      <c r="G21" t="s">
        <v>208</v>
      </c>
      <c r="H21" t="s">
        <v>200</v>
      </c>
      <c r="I21" t="s">
        <v>705</v>
      </c>
      <c r="J21" t="s">
        <v>490</v>
      </c>
      <c r="K21" t="s">
        <v>244</v>
      </c>
      <c r="L21" t="s">
        <v>704</v>
      </c>
      <c r="M21" t="s">
        <v>369</v>
      </c>
      <c r="N21" t="s">
        <v>180</v>
      </c>
      <c r="O21" t="s">
        <v>598</v>
      </c>
      <c r="P21" t="s">
        <v>188</v>
      </c>
      <c r="Q21" t="s">
        <v>706</v>
      </c>
      <c r="R21" t="s">
        <v>707</v>
      </c>
      <c r="S21" t="s">
        <v>708</v>
      </c>
      <c r="T21" t="s">
        <v>616</v>
      </c>
      <c r="U21" t="s">
        <v>230</v>
      </c>
      <c r="V21" t="s">
        <v>58</v>
      </c>
      <c r="W21" t="s">
        <v>486</v>
      </c>
      <c r="X21" t="s">
        <v>188</v>
      </c>
      <c r="Y21" t="s">
        <v>208</v>
      </c>
      <c r="Z21" t="s">
        <v>688</v>
      </c>
      <c r="AA21" t="s">
        <v>231</v>
      </c>
      <c r="AB21" t="s">
        <v>49</v>
      </c>
    </row>
    <row r="22" spans="1:28" x14ac:dyDescent="0.25">
      <c r="A22" t="s">
        <v>235</v>
      </c>
      <c r="B22" t="s">
        <v>134</v>
      </c>
      <c r="C22" t="s">
        <v>135</v>
      </c>
      <c r="D22" t="s">
        <v>462</v>
      </c>
      <c r="E22" t="s">
        <v>236</v>
      </c>
      <c r="F22" t="s">
        <v>709</v>
      </c>
      <c r="G22" t="s">
        <v>284</v>
      </c>
      <c r="H22" t="s">
        <v>710</v>
      </c>
      <c r="I22" t="s">
        <v>711</v>
      </c>
      <c r="J22" t="s">
        <v>496</v>
      </c>
      <c r="K22" t="s">
        <v>99</v>
      </c>
      <c r="L22" t="s">
        <v>709</v>
      </c>
      <c r="M22" t="s">
        <v>59</v>
      </c>
      <c r="N22" t="s">
        <v>59</v>
      </c>
      <c r="O22" t="s">
        <v>435</v>
      </c>
      <c r="P22" t="s">
        <v>60</v>
      </c>
      <c r="Q22" t="s">
        <v>158</v>
      </c>
      <c r="R22" t="s">
        <v>712</v>
      </c>
      <c r="S22" t="s">
        <v>713</v>
      </c>
      <c r="T22" t="s">
        <v>498</v>
      </c>
      <c r="U22" t="s">
        <v>197</v>
      </c>
      <c r="V22" t="s">
        <v>180</v>
      </c>
      <c r="W22" t="s">
        <v>60</v>
      </c>
      <c r="X22" t="s">
        <v>59</v>
      </c>
      <c r="Y22" t="s">
        <v>60</v>
      </c>
      <c r="Z22" t="s">
        <v>714</v>
      </c>
      <c r="AA22" t="s">
        <v>59</v>
      </c>
      <c r="AB22" t="s">
        <v>49</v>
      </c>
    </row>
    <row r="23" spans="1:28" x14ac:dyDescent="0.25">
      <c r="A23" t="s">
        <v>238</v>
      </c>
      <c r="B23" t="s">
        <v>239</v>
      </c>
      <c r="C23" t="s">
        <v>170</v>
      </c>
      <c r="D23" t="s">
        <v>465</v>
      </c>
      <c r="E23" t="s">
        <v>164</v>
      </c>
      <c r="F23" t="s">
        <v>347</v>
      </c>
      <c r="G23" t="s">
        <v>59</v>
      </c>
      <c r="H23" t="s">
        <v>81</v>
      </c>
      <c r="I23" t="s">
        <v>79</v>
      </c>
      <c r="J23" t="s">
        <v>218</v>
      </c>
      <c r="K23" t="s">
        <v>114</v>
      </c>
      <c r="L23" t="s">
        <v>347</v>
      </c>
      <c r="M23" t="s">
        <v>114</v>
      </c>
      <c r="N23" t="s">
        <v>60</v>
      </c>
      <c r="O23" t="s">
        <v>158</v>
      </c>
      <c r="P23" t="s">
        <v>114</v>
      </c>
      <c r="Q23" t="s">
        <v>435</v>
      </c>
      <c r="R23" t="s">
        <v>474</v>
      </c>
      <c r="S23" t="s">
        <v>715</v>
      </c>
      <c r="T23" t="s">
        <v>426</v>
      </c>
      <c r="U23" t="s">
        <v>99</v>
      </c>
      <c r="V23" t="s">
        <v>114</v>
      </c>
      <c r="W23" t="s">
        <v>60</v>
      </c>
      <c r="X23" t="s">
        <v>81</v>
      </c>
      <c r="Y23" t="s">
        <v>114</v>
      </c>
      <c r="Z23" t="s">
        <v>268</v>
      </c>
      <c r="AA23" t="s">
        <v>145</v>
      </c>
      <c r="AB23" t="s">
        <v>49</v>
      </c>
    </row>
    <row r="24" spans="1:28" x14ac:dyDescent="0.25">
      <c r="A24" t="s">
        <v>241</v>
      </c>
      <c r="B24" t="s">
        <v>134</v>
      </c>
      <c r="C24" t="s">
        <v>77</v>
      </c>
      <c r="D24" t="s">
        <v>467</v>
      </c>
      <c r="E24" t="s">
        <v>117</v>
      </c>
      <c r="F24" t="s">
        <v>716</v>
      </c>
      <c r="G24" t="s">
        <v>145</v>
      </c>
      <c r="H24" t="s">
        <v>283</v>
      </c>
      <c r="I24" t="s">
        <v>167</v>
      </c>
      <c r="J24" t="s">
        <v>114</v>
      </c>
      <c r="K24" t="s">
        <v>59</v>
      </c>
      <c r="L24" t="s">
        <v>716</v>
      </c>
      <c r="M24" t="s">
        <v>59</v>
      </c>
      <c r="N24" t="s">
        <v>60</v>
      </c>
      <c r="O24" t="s">
        <v>158</v>
      </c>
      <c r="P24" t="s">
        <v>60</v>
      </c>
      <c r="Q24" t="s">
        <v>158</v>
      </c>
      <c r="R24" t="s">
        <v>87</v>
      </c>
      <c r="S24" t="s">
        <v>299</v>
      </c>
      <c r="T24" t="s">
        <v>717</v>
      </c>
      <c r="U24" t="s">
        <v>59</v>
      </c>
      <c r="V24" t="s">
        <v>60</v>
      </c>
      <c r="W24" t="s">
        <v>60</v>
      </c>
      <c r="X24" t="s">
        <v>59</v>
      </c>
      <c r="Y24" t="s">
        <v>60</v>
      </c>
      <c r="Z24" t="s">
        <v>461</v>
      </c>
      <c r="AA24" t="s">
        <v>60</v>
      </c>
      <c r="AB24" t="s">
        <v>49</v>
      </c>
    </row>
    <row r="25" spans="1:28" x14ac:dyDescent="0.25">
      <c r="A25" t="s">
        <v>242</v>
      </c>
      <c r="B25" t="s">
        <v>243</v>
      </c>
      <c r="C25" t="s">
        <v>123</v>
      </c>
      <c r="D25" t="s">
        <v>472</v>
      </c>
      <c r="E25" t="s">
        <v>115</v>
      </c>
      <c r="F25" t="s">
        <v>244</v>
      </c>
      <c r="G25" t="s">
        <v>59</v>
      </c>
      <c r="H25" t="s">
        <v>208</v>
      </c>
      <c r="I25" t="s">
        <v>324</v>
      </c>
      <c r="J25" t="s">
        <v>53</v>
      </c>
      <c r="K25" t="s">
        <v>60</v>
      </c>
      <c r="L25" t="s">
        <v>244</v>
      </c>
      <c r="M25" t="s">
        <v>59</v>
      </c>
      <c r="N25" t="s">
        <v>60</v>
      </c>
      <c r="O25" t="s">
        <v>158</v>
      </c>
      <c r="P25" t="s">
        <v>60</v>
      </c>
      <c r="Q25" t="s">
        <v>158</v>
      </c>
      <c r="R25" t="s">
        <v>200</v>
      </c>
      <c r="S25" t="s">
        <v>718</v>
      </c>
      <c r="T25" t="s">
        <v>447</v>
      </c>
      <c r="U25" t="s">
        <v>60</v>
      </c>
      <c r="V25" t="s">
        <v>56</v>
      </c>
      <c r="W25" t="s">
        <v>60</v>
      </c>
      <c r="X25" t="s">
        <v>60</v>
      </c>
      <c r="Y25" t="s">
        <v>60</v>
      </c>
      <c r="Z25" t="s">
        <v>470</v>
      </c>
      <c r="AA25" t="s">
        <v>59</v>
      </c>
      <c r="AB25" t="s">
        <v>49</v>
      </c>
    </row>
    <row r="26" spans="1:28" x14ac:dyDescent="0.25">
      <c r="A26" t="s">
        <v>245</v>
      </c>
      <c r="B26" t="s">
        <v>246</v>
      </c>
      <c r="C26" t="s">
        <v>77</v>
      </c>
      <c r="D26" t="s">
        <v>473</v>
      </c>
      <c r="E26" t="s">
        <v>207</v>
      </c>
      <c r="F26" t="s">
        <v>175</v>
      </c>
      <c r="G26" t="s">
        <v>188</v>
      </c>
      <c r="H26" t="s">
        <v>302</v>
      </c>
      <c r="I26" t="s">
        <v>55</v>
      </c>
      <c r="J26" t="s">
        <v>59</v>
      </c>
      <c r="K26" t="s">
        <v>60</v>
      </c>
      <c r="L26" t="s">
        <v>175</v>
      </c>
      <c r="M26" t="s">
        <v>59</v>
      </c>
      <c r="N26" t="s">
        <v>60</v>
      </c>
      <c r="O26" t="s">
        <v>158</v>
      </c>
      <c r="P26" t="s">
        <v>59</v>
      </c>
      <c r="Q26" t="s">
        <v>435</v>
      </c>
      <c r="R26" t="s">
        <v>474</v>
      </c>
      <c r="S26" t="s">
        <v>86</v>
      </c>
      <c r="T26" t="s">
        <v>481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128</v>
      </c>
      <c r="AA26" t="s">
        <v>60</v>
      </c>
      <c r="AB26" t="s">
        <v>49</v>
      </c>
    </row>
    <row r="27" spans="1:28" x14ac:dyDescent="0.25">
      <c r="A27" t="s">
        <v>248</v>
      </c>
      <c r="B27" t="s">
        <v>134</v>
      </c>
      <c r="C27" t="s">
        <v>97</v>
      </c>
      <c r="D27" t="s">
        <v>477</v>
      </c>
      <c r="E27" t="s">
        <v>249</v>
      </c>
      <c r="F27" t="s">
        <v>209</v>
      </c>
      <c r="G27" t="s">
        <v>60</v>
      </c>
      <c r="H27" t="s">
        <v>144</v>
      </c>
      <c r="I27" t="s">
        <v>282</v>
      </c>
      <c r="J27" t="s">
        <v>324</v>
      </c>
      <c r="K27" t="s">
        <v>100</v>
      </c>
      <c r="L27" t="s">
        <v>209</v>
      </c>
      <c r="M27" t="s">
        <v>99</v>
      </c>
      <c r="N27" t="s">
        <v>59</v>
      </c>
      <c r="O27" t="s">
        <v>531</v>
      </c>
      <c r="P27" t="s">
        <v>114</v>
      </c>
      <c r="Q27" t="s">
        <v>466</v>
      </c>
      <c r="R27" t="s">
        <v>191</v>
      </c>
      <c r="S27" t="s">
        <v>572</v>
      </c>
      <c r="T27" t="s">
        <v>438</v>
      </c>
      <c r="U27" t="s">
        <v>114</v>
      </c>
      <c r="V27" t="s">
        <v>59</v>
      </c>
      <c r="W27" t="s">
        <v>60</v>
      </c>
      <c r="X27" t="s">
        <v>60</v>
      </c>
      <c r="Y27" t="s">
        <v>59</v>
      </c>
      <c r="Z27" t="s">
        <v>475</v>
      </c>
      <c r="AA27" t="s">
        <v>188</v>
      </c>
      <c r="AB27" t="s">
        <v>49</v>
      </c>
    </row>
    <row r="28" spans="1:28" x14ac:dyDescent="0.25">
      <c r="A28" t="s">
        <v>251</v>
      </c>
      <c r="B28" t="s">
        <v>134</v>
      </c>
      <c r="C28" t="s">
        <v>52</v>
      </c>
      <c r="D28" t="s">
        <v>480</v>
      </c>
      <c r="E28" t="s">
        <v>138</v>
      </c>
      <c r="F28" t="s">
        <v>81</v>
      </c>
      <c r="G28" t="s">
        <v>60</v>
      </c>
      <c r="H28" t="s">
        <v>60</v>
      </c>
      <c r="I28" t="s">
        <v>56</v>
      </c>
      <c r="J28" t="s">
        <v>114</v>
      </c>
      <c r="K28" t="s">
        <v>59</v>
      </c>
      <c r="L28" t="s">
        <v>81</v>
      </c>
      <c r="M28" t="s">
        <v>60</v>
      </c>
      <c r="N28" t="s">
        <v>60</v>
      </c>
      <c r="O28" t="s">
        <v>30</v>
      </c>
      <c r="P28" t="s">
        <v>60</v>
      </c>
      <c r="Q28" t="s">
        <v>30</v>
      </c>
      <c r="R28" t="s">
        <v>56</v>
      </c>
      <c r="S28" t="s">
        <v>129</v>
      </c>
      <c r="T28" t="s">
        <v>60</v>
      </c>
      <c r="U28" t="s">
        <v>60</v>
      </c>
      <c r="V28" t="s">
        <v>60</v>
      </c>
      <c r="W28" t="s">
        <v>60</v>
      </c>
      <c r="X28" t="s">
        <v>60</v>
      </c>
      <c r="Y28" t="s">
        <v>59</v>
      </c>
      <c r="Z28" t="s">
        <v>114</v>
      </c>
      <c r="AA28" t="s">
        <v>60</v>
      </c>
      <c r="AB28" t="s">
        <v>49</v>
      </c>
    </row>
    <row r="29" spans="1:28" x14ac:dyDescent="0.25">
      <c r="A29" t="s">
        <v>253</v>
      </c>
      <c r="B29" t="s">
        <v>134</v>
      </c>
      <c r="C29" t="s">
        <v>123</v>
      </c>
      <c r="D29" t="s">
        <v>482</v>
      </c>
      <c r="E29" t="s">
        <v>225</v>
      </c>
      <c r="F29" t="s">
        <v>185</v>
      </c>
      <c r="G29" t="s">
        <v>59</v>
      </c>
      <c r="H29" t="s">
        <v>59</v>
      </c>
      <c r="I29" t="s">
        <v>208</v>
      </c>
      <c r="J29" t="s">
        <v>99</v>
      </c>
      <c r="K29" t="s">
        <v>60</v>
      </c>
      <c r="L29" t="s">
        <v>185</v>
      </c>
      <c r="M29" t="s">
        <v>59</v>
      </c>
      <c r="N29" t="s">
        <v>60</v>
      </c>
      <c r="O29" t="s">
        <v>158</v>
      </c>
      <c r="P29" t="s">
        <v>59</v>
      </c>
      <c r="Q29" t="s">
        <v>435</v>
      </c>
      <c r="R29" t="s">
        <v>180</v>
      </c>
      <c r="S29" t="s">
        <v>719</v>
      </c>
      <c r="T29" t="s">
        <v>339</v>
      </c>
      <c r="U29" t="s">
        <v>59</v>
      </c>
      <c r="V29" t="s">
        <v>59</v>
      </c>
      <c r="W29" t="s">
        <v>60</v>
      </c>
      <c r="X29" t="s">
        <v>59</v>
      </c>
      <c r="Y29" t="s">
        <v>60</v>
      </c>
      <c r="Z29" t="s">
        <v>129</v>
      </c>
      <c r="AA29" t="s">
        <v>60</v>
      </c>
      <c r="AB29" t="s">
        <v>49</v>
      </c>
    </row>
    <row r="30" spans="1:28" x14ac:dyDescent="0.25">
      <c r="A30" t="s">
        <v>261</v>
      </c>
      <c r="B30" t="s">
        <v>30</v>
      </c>
      <c r="C30" t="s">
        <v>30</v>
      </c>
      <c r="D30" t="s">
        <v>262</v>
      </c>
      <c r="E30" t="s">
        <v>265</v>
      </c>
      <c r="F30" t="s">
        <v>720</v>
      </c>
      <c r="G30" t="s">
        <v>721</v>
      </c>
      <c r="H30" t="s">
        <v>722</v>
      </c>
      <c r="I30" t="s">
        <v>723</v>
      </c>
      <c r="J30" t="s">
        <v>724</v>
      </c>
      <c r="K30" t="s">
        <v>725</v>
      </c>
      <c r="L30" t="s">
        <v>726</v>
      </c>
      <c r="M30" t="s">
        <v>549</v>
      </c>
      <c r="N30" t="s">
        <v>552</v>
      </c>
      <c r="O30" t="s">
        <v>547</v>
      </c>
      <c r="P30" t="s">
        <v>551</v>
      </c>
      <c r="Q30" t="s">
        <v>727</v>
      </c>
      <c r="R30" t="s">
        <v>728</v>
      </c>
      <c r="S30" t="s">
        <v>729</v>
      </c>
      <c r="T30" t="s">
        <v>730</v>
      </c>
      <c r="U30" t="s">
        <v>272</v>
      </c>
      <c r="V30" t="s">
        <v>469</v>
      </c>
      <c r="W30" t="s">
        <v>731</v>
      </c>
      <c r="X30" t="s">
        <v>699</v>
      </c>
      <c r="Y30" t="s">
        <v>550</v>
      </c>
      <c r="Z30" t="s">
        <v>732</v>
      </c>
      <c r="AA30" t="s">
        <v>273</v>
      </c>
      <c r="AB30" t="s">
        <v>30</v>
      </c>
    </row>
    <row r="31" spans="1:28" x14ac:dyDescent="0.25">
      <c r="A31" t="s">
        <v>280</v>
      </c>
      <c r="B31" t="s">
        <v>30</v>
      </c>
      <c r="C31" t="s">
        <v>30</v>
      </c>
      <c r="D31" t="s">
        <v>281</v>
      </c>
      <c r="E31" t="s">
        <v>265</v>
      </c>
      <c r="F31" t="s">
        <v>733</v>
      </c>
      <c r="G31" t="s">
        <v>734</v>
      </c>
      <c r="H31" t="s">
        <v>735</v>
      </c>
      <c r="I31" t="s">
        <v>736</v>
      </c>
      <c r="J31" t="s">
        <v>737</v>
      </c>
      <c r="K31" t="s">
        <v>738</v>
      </c>
      <c r="L31" t="s">
        <v>739</v>
      </c>
      <c r="M31" t="s">
        <v>451</v>
      </c>
      <c r="N31" t="s">
        <v>548</v>
      </c>
      <c r="O31" t="s">
        <v>568</v>
      </c>
      <c r="P31" t="s">
        <v>332</v>
      </c>
      <c r="Q31" t="s">
        <v>555</v>
      </c>
      <c r="R31" t="s">
        <v>457</v>
      </c>
      <c r="S31" t="s">
        <v>740</v>
      </c>
      <c r="T31" t="s">
        <v>741</v>
      </c>
      <c r="U31" t="s">
        <v>289</v>
      </c>
      <c r="V31" t="s">
        <v>742</v>
      </c>
      <c r="W31" t="s">
        <v>522</v>
      </c>
      <c r="X31" t="s">
        <v>560</v>
      </c>
      <c r="Y31" t="s">
        <v>743</v>
      </c>
      <c r="Z31" t="s">
        <v>744</v>
      </c>
      <c r="AA31" t="s">
        <v>290</v>
      </c>
      <c r="AB31" t="s">
        <v>30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C1A1-97F7-45D6-8A63-0C0651C8B014}">
  <dimension ref="A1:AB30"/>
  <sheetViews>
    <sheetView workbookViewId="0">
      <selection activeCell="I32" sqref="I32"/>
    </sheetView>
  </sheetViews>
  <sheetFormatPr defaultRowHeight="15" x14ac:dyDescent="0.25"/>
  <cols>
    <col min="1" max="1" width="15.140625" bestFit="1" customWidth="1"/>
    <col min="2" max="9" width="11.42578125" bestFit="1" customWidth="1"/>
    <col min="10" max="28" width="12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30</v>
      </c>
      <c r="B2" t="s">
        <v>30</v>
      </c>
      <c r="C2" t="s">
        <v>30</v>
      </c>
      <c r="D2" t="s">
        <v>30</v>
      </c>
      <c r="E2" t="s">
        <v>30</v>
      </c>
      <c r="F2" t="s">
        <v>581</v>
      </c>
      <c r="G2" t="s">
        <v>581</v>
      </c>
      <c r="H2" t="s">
        <v>581</v>
      </c>
      <c r="I2" t="s">
        <v>581</v>
      </c>
      <c r="J2" t="s">
        <v>581</v>
      </c>
      <c r="K2" t="s">
        <v>581</v>
      </c>
      <c r="L2" t="s">
        <v>581</v>
      </c>
      <c r="M2" t="s">
        <v>582</v>
      </c>
      <c r="N2" t="s">
        <v>582</v>
      </c>
      <c r="O2" t="s">
        <v>582</v>
      </c>
      <c r="P2" t="s">
        <v>582</v>
      </c>
      <c r="Q2" t="s">
        <v>582</v>
      </c>
      <c r="R2" t="s">
        <v>583</v>
      </c>
      <c r="S2" t="s">
        <v>583</v>
      </c>
      <c r="T2" t="s">
        <v>583</v>
      </c>
      <c r="U2" t="s">
        <v>583</v>
      </c>
      <c r="V2" t="s">
        <v>583</v>
      </c>
      <c r="W2" t="s">
        <v>583</v>
      </c>
      <c r="X2" t="s">
        <v>583</v>
      </c>
      <c r="Y2" t="s">
        <v>583</v>
      </c>
      <c r="Z2" t="s">
        <v>584</v>
      </c>
      <c r="AA2" t="s">
        <v>584</v>
      </c>
      <c r="AB2" t="s">
        <v>30</v>
      </c>
    </row>
    <row r="3" spans="1:28" x14ac:dyDescent="0.25">
      <c r="A3" t="s">
        <v>36</v>
      </c>
      <c r="B3" t="s">
        <v>37</v>
      </c>
      <c r="C3" t="s">
        <v>38</v>
      </c>
      <c r="D3" t="s">
        <v>39</v>
      </c>
      <c r="E3" t="s">
        <v>42</v>
      </c>
      <c r="F3" t="s">
        <v>581</v>
      </c>
      <c r="G3" t="s">
        <v>585</v>
      </c>
      <c r="H3" t="s">
        <v>542</v>
      </c>
      <c r="I3" t="s">
        <v>543</v>
      </c>
      <c r="J3" t="s">
        <v>544</v>
      </c>
      <c r="K3" t="s">
        <v>586</v>
      </c>
      <c r="L3" t="s">
        <v>587</v>
      </c>
      <c r="M3" t="s">
        <v>406</v>
      </c>
      <c r="N3" t="s">
        <v>588</v>
      </c>
      <c r="O3" t="s">
        <v>589</v>
      </c>
      <c r="P3" t="s">
        <v>590</v>
      </c>
      <c r="Q3" t="s">
        <v>591</v>
      </c>
      <c r="R3" t="s">
        <v>583</v>
      </c>
      <c r="S3" t="s">
        <v>407</v>
      </c>
      <c r="T3" t="s">
        <v>408</v>
      </c>
      <c r="U3" t="s">
        <v>47</v>
      </c>
      <c r="V3" t="s">
        <v>410</v>
      </c>
      <c r="W3" t="s">
        <v>592</v>
      </c>
      <c r="X3" t="s">
        <v>593</v>
      </c>
      <c r="Y3" t="s">
        <v>594</v>
      </c>
      <c r="Z3" t="s">
        <v>595</v>
      </c>
      <c r="AA3" t="s">
        <v>48</v>
      </c>
      <c r="AB3" t="s">
        <v>49</v>
      </c>
    </row>
    <row r="4" spans="1:28" x14ac:dyDescent="0.25">
      <c r="A4" t="s">
        <v>242</v>
      </c>
      <c r="B4" t="s">
        <v>243</v>
      </c>
      <c r="C4" t="s">
        <v>123</v>
      </c>
      <c r="D4" t="s">
        <v>282</v>
      </c>
      <c r="E4" t="s">
        <v>295</v>
      </c>
      <c r="F4" t="s">
        <v>745</v>
      </c>
      <c r="G4" t="s">
        <v>566</v>
      </c>
      <c r="H4" t="s">
        <v>746</v>
      </c>
      <c r="I4" t="s">
        <v>747</v>
      </c>
      <c r="J4" t="s">
        <v>748</v>
      </c>
      <c r="K4" t="s">
        <v>140</v>
      </c>
      <c r="L4" t="s">
        <v>745</v>
      </c>
      <c r="M4" t="s">
        <v>209</v>
      </c>
      <c r="N4" t="s">
        <v>447</v>
      </c>
      <c r="O4" t="s">
        <v>414</v>
      </c>
      <c r="P4" t="s">
        <v>129</v>
      </c>
      <c r="Q4" t="s">
        <v>749</v>
      </c>
      <c r="R4" t="s">
        <v>750</v>
      </c>
      <c r="S4" t="s">
        <v>751</v>
      </c>
      <c r="T4" t="s">
        <v>752</v>
      </c>
      <c r="U4" t="s">
        <v>298</v>
      </c>
      <c r="V4" t="s">
        <v>575</v>
      </c>
      <c r="W4" t="s">
        <v>208</v>
      </c>
      <c r="X4" t="s">
        <v>78</v>
      </c>
      <c r="Y4" t="s">
        <v>139</v>
      </c>
      <c r="Z4" t="s">
        <v>753</v>
      </c>
      <c r="AA4" t="s">
        <v>300</v>
      </c>
      <c r="AB4" t="s">
        <v>49</v>
      </c>
    </row>
    <row r="5" spans="1:28" x14ac:dyDescent="0.25">
      <c r="A5" t="s">
        <v>142</v>
      </c>
      <c r="B5" t="s">
        <v>134</v>
      </c>
      <c r="C5" t="s">
        <v>170</v>
      </c>
      <c r="D5" t="s">
        <v>78</v>
      </c>
      <c r="E5" t="s">
        <v>303</v>
      </c>
      <c r="F5" t="s">
        <v>754</v>
      </c>
      <c r="G5" t="s">
        <v>79</v>
      </c>
      <c r="H5" t="s">
        <v>514</v>
      </c>
      <c r="I5" t="s">
        <v>755</v>
      </c>
      <c r="J5" t="s">
        <v>605</v>
      </c>
      <c r="K5" t="s">
        <v>717</v>
      </c>
      <c r="L5" t="s">
        <v>754</v>
      </c>
      <c r="M5" t="s">
        <v>756</v>
      </c>
      <c r="N5" t="s">
        <v>266</v>
      </c>
      <c r="O5" t="s">
        <v>757</v>
      </c>
      <c r="P5" t="s">
        <v>268</v>
      </c>
      <c r="Q5" t="s">
        <v>758</v>
      </c>
      <c r="R5" t="s">
        <v>511</v>
      </c>
      <c r="S5" t="s">
        <v>759</v>
      </c>
      <c r="T5" t="s">
        <v>760</v>
      </c>
      <c r="U5" t="s">
        <v>306</v>
      </c>
      <c r="V5" t="s">
        <v>87</v>
      </c>
      <c r="W5" t="s">
        <v>85</v>
      </c>
      <c r="X5" t="s">
        <v>523</v>
      </c>
      <c r="Y5" t="s">
        <v>470</v>
      </c>
      <c r="Z5" t="s">
        <v>761</v>
      </c>
      <c r="AA5" t="s">
        <v>308</v>
      </c>
      <c r="AB5" t="s">
        <v>49</v>
      </c>
    </row>
    <row r="6" spans="1:28" x14ac:dyDescent="0.25">
      <c r="A6" t="s">
        <v>154</v>
      </c>
      <c r="B6" t="s">
        <v>155</v>
      </c>
      <c r="C6" t="s">
        <v>156</v>
      </c>
      <c r="D6" t="s">
        <v>311</v>
      </c>
      <c r="E6" t="s">
        <v>312</v>
      </c>
      <c r="F6" t="s">
        <v>440</v>
      </c>
      <c r="G6" t="s">
        <v>762</v>
      </c>
      <c r="H6" t="s">
        <v>702</v>
      </c>
      <c r="I6" t="s">
        <v>112</v>
      </c>
      <c r="J6" t="s">
        <v>60</v>
      </c>
      <c r="K6" t="s">
        <v>60</v>
      </c>
      <c r="L6" t="s">
        <v>440</v>
      </c>
      <c r="M6" t="s">
        <v>59</v>
      </c>
      <c r="N6" t="s">
        <v>59</v>
      </c>
      <c r="O6" t="s">
        <v>435</v>
      </c>
      <c r="P6" t="s">
        <v>60</v>
      </c>
      <c r="Q6" t="s">
        <v>158</v>
      </c>
      <c r="R6" t="s">
        <v>562</v>
      </c>
      <c r="S6" t="s">
        <v>763</v>
      </c>
      <c r="T6" t="s">
        <v>696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764</v>
      </c>
      <c r="AA6" t="s">
        <v>60</v>
      </c>
      <c r="AB6" t="s">
        <v>49</v>
      </c>
    </row>
    <row r="7" spans="1:28" x14ac:dyDescent="0.25">
      <c r="A7" t="s">
        <v>313</v>
      </c>
      <c r="B7" t="s">
        <v>314</v>
      </c>
      <c r="C7" t="s">
        <v>97</v>
      </c>
      <c r="D7" t="s">
        <v>78</v>
      </c>
      <c r="E7" t="s">
        <v>315</v>
      </c>
      <c r="F7" t="s">
        <v>765</v>
      </c>
      <c r="G7" t="s">
        <v>112</v>
      </c>
      <c r="H7" t="s">
        <v>468</v>
      </c>
      <c r="I7" t="s">
        <v>683</v>
      </c>
      <c r="J7" t="s">
        <v>766</v>
      </c>
      <c r="K7" t="s">
        <v>426</v>
      </c>
      <c r="L7" t="s">
        <v>767</v>
      </c>
      <c r="M7" t="s">
        <v>447</v>
      </c>
      <c r="N7" t="s">
        <v>112</v>
      </c>
      <c r="O7" t="s">
        <v>670</v>
      </c>
      <c r="P7" t="s">
        <v>79</v>
      </c>
      <c r="Q7" t="s">
        <v>768</v>
      </c>
      <c r="R7" t="s">
        <v>769</v>
      </c>
      <c r="S7" t="s">
        <v>770</v>
      </c>
      <c r="T7" t="s">
        <v>771</v>
      </c>
      <c r="U7" t="s">
        <v>209</v>
      </c>
      <c r="V7" t="s">
        <v>167</v>
      </c>
      <c r="W7" t="s">
        <v>252</v>
      </c>
      <c r="X7" t="s">
        <v>85</v>
      </c>
      <c r="Y7" t="s">
        <v>218</v>
      </c>
      <c r="Z7" t="s">
        <v>772</v>
      </c>
      <c r="AA7" t="s">
        <v>318</v>
      </c>
      <c r="AB7" t="s">
        <v>49</v>
      </c>
    </row>
    <row r="8" spans="1:28" x14ac:dyDescent="0.25">
      <c r="A8" t="s">
        <v>204</v>
      </c>
      <c r="B8" t="s">
        <v>134</v>
      </c>
      <c r="C8" t="s">
        <v>77</v>
      </c>
      <c r="D8" t="s">
        <v>302</v>
      </c>
      <c r="E8" t="s">
        <v>325</v>
      </c>
      <c r="F8" t="s">
        <v>773</v>
      </c>
      <c r="G8" t="s">
        <v>104</v>
      </c>
      <c r="H8" t="s">
        <v>774</v>
      </c>
      <c r="I8" t="s">
        <v>775</v>
      </c>
      <c r="J8" t="s">
        <v>776</v>
      </c>
      <c r="K8" t="s">
        <v>474</v>
      </c>
      <c r="L8" t="s">
        <v>773</v>
      </c>
      <c r="M8" t="s">
        <v>191</v>
      </c>
      <c r="N8" t="s">
        <v>57</v>
      </c>
      <c r="O8" t="s">
        <v>517</v>
      </c>
      <c r="P8" t="s">
        <v>186</v>
      </c>
      <c r="Q8" t="s">
        <v>777</v>
      </c>
      <c r="R8" t="s">
        <v>778</v>
      </c>
      <c r="S8" t="s">
        <v>779</v>
      </c>
      <c r="T8" t="s">
        <v>780</v>
      </c>
      <c r="U8" t="s">
        <v>327</v>
      </c>
      <c r="V8" t="s">
        <v>496</v>
      </c>
      <c r="W8" t="s">
        <v>144</v>
      </c>
      <c r="X8" t="s">
        <v>53</v>
      </c>
      <c r="Y8" t="s">
        <v>180</v>
      </c>
      <c r="Z8" t="s">
        <v>781</v>
      </c>
      <c r="AA8" t="s">
        <v>328</v>
      </c>
      <c r="AB8" t="s">
        <v>49</v>
      </c>
    </row>
    <row r="9" spans="1:28" x14ac:dyDescent="0.25">
      <c r="A9" t="s">
        <v>95</v>
      </c>
      <c r="B9" t="s">
        <v>96</v>
      </c>
      <c r="C9" t="s">
        <v>97</v>
      </c>
      <c r="D9" t="s">
        <v>252</v>
      </c>
      <c r="E9" t="s">
        <v>329</v>
      </c>
      <c r="F9" t="s">
        <v>782</v>
      </c>
      <c r="G9" t="s">
        <v>199</v>
      </c>
      <c r="H9" t="s">
        <v>783</v>
      </c>
      <c r="I9" t="s">
        <v>784</v>
      </c>
      <c r="J9" t="s">
        <v>785</v>
      </c>
      <c r="K9" t="s">
        <v>363</v>
      </c>
      <c r="L9" t="s">
        <v>782</v>
      </c>
      <c r="M9" t="s">
        <v>283</v>
      </c>
      <c r="N9" t="s">
        <v>118</v>
      </c>
      <c r="O9" t="s">
        <v>786</v>
      </c>
      <c r="P9" t="s">
        <v>57</v>
      </c>
      <c r="Q9" t="s">
        <v>578</v>
      </c>
      <c r="R9" t="s">
        <v>787</v>
      </c>
      <c r="S9" t="s">
        <v>788</v>
      </c>
      <c r="T9" t="s">
        <v>789</v>
      </c>
      <c r="U9" t="s">
        <v>332</v>
      </c>
      <c r="V9" t="s">
        <v>327</v>
      </c>
      <c r="W9" t="s">
        <v>148</v>
      </c>
      <c r="X9" t="s">
        <v>128</v>
      </c>
      <c r="Y9" t="s">
        <v>200</v>
      </c>
      <c r="Z9" t="s">
        <v>790</v>
      </c>
      <c r="AA9" t="s">
        <v>333</v>
      </c>
      <c r="AB9" t="s">
        <v>49</v>
      </c>
    </row>
    <row r="10" spans="1:28" x14ac:dyDescent="0.25">
      <c r="A10" t="s">
        <v>50</v>
      </c>
      <c r="B10" t="s">
        <v>51</v>
      </c>
      <c r="C10" t="s">
        <v>52</v>
      </c>
      <c r="D10" t="s">
        <v>78</v>
      </c>
      <c r="E10" t="s">
        <v>335</v>
      </c>
      <c r="F10" t="s">
        <v>524</v>
      </c>
      <c r="G10" t="s">
        <v>65</v>
      </c>
      <c r="H10" t="s">
        <v>218</v>
      </c>
      <c r="I10" t="s">
        <v>460</v>
      </c>
      <c r="J10" t="s">
        <v>791</v>
      </c>
      <c r="K10" t="s">
        <v>557</v>
      </c>
      <c r="L10" t="s">
        <v>792</v>
      </c>
      <c r="M10" t="s">
        <v>324</v>
      </c>
      <c r="N10" t="s">
        <v>208</v>
      </c>
      <c r="O10" t="s">
        <v>494</v>
      </c>
      <c r="P10" t="s">
        <v>64</v>
      </c>
      <c r="Q10" t="s">
        <v>793</v>
      </c>
      <c r="R10" t="s">
        <v>794</v>
      </c>
      <c r="S10" t="s">
        <v>795</v>
      </c>
      <c r="T10" t="s">
        <v>796</v>
      </c>
      <c r="U10" t="s">
        <v>191</v>
      </c>
      <c r="V10" t="s">
        <v>180</v>
      </c>
      <c r="W10" t="s">
        <v>79</v>
      </c>
      <c r="X10" t="s">
        <v>474</v>
      </c>
      <c r="Y10" t="s">
        <v>55</v>
      </c>
      <c r="Z10" t="s">
        <v>444</v>
      </c>
      <c r="AA10" t="s">
        <v>340</v>
      </c>
      <c r="AB10" t="s">
        <v>49</v>
      </c>
    </row>
    <row r="11" spans="1:28" x14ac:dyDescent="0.25">
      <c r="A11" t="s">
        <v>179</v>
      </c>
      <c r="B11" t="s">
        <v>96</v>
      </c>
      <c r="C11" t="s">
        <v>77</v>
      </c>
      <c r="D11" t="s">
        <v>339</v>
      </c>
      <c r="E11" t="s">
        <v>335</v>
      </c>
      <c r="F11" t="s">
        <v>797</v>
      </c>
      <c r="G11" t="s">
        <v>798</v>
      </c>
      <c r="H11" t="s">
        <v>799</v>
      </c>
      <c r="I11" t="s">
        <v>800</v>
      </c>
      <c r="J11" t="s">
        <v>560</v>
      </c>
      <c r="K11" t="s">
        <v>200</v>
      </c>
      <c r="L11" t="s">
        <v>797</v>
      </c>
      <c r="M11" t="s">
        <v>59</v>
      </c>
      <c r="N11" t="s">
        <v>60</v>
      </c>
      <c r="O11" t="s">
        <v>158</v>
      </c>
      <c r="P11" t="s">
        <v>59</v>
      </c>
      <c r="Q11" t="s">
        <v>435</v>
      </c>
      <c r="R11" t="s">
        <v>801</v>
      </c>
      <c r="S11" t="s">
        <v>802</v>
      </c>
      <c r="T11" t="s">
        <v>803</v>
      </c>
      <c r="U11" t="s">
        <v>200</v>
      </c>
      <c r="V11" t="s">
        <v>504</v>
      </c>
      <c r="W11" t="s">
        <v>59</v>
      </c>
      <c r="X11" t="s">
        <v>197</v>
      </c>
      <c r="Y11" t="s">
        <v>144</v>
      </c>
      <c r="Z11" t="s">
        <v>804</v>
      </c>
      <c r="AA11" t="s">
        <v>64</v>
      </c>
      <c r="AB11" t="s">
        <v>49</v>
      </c>
    </row>
    <row r="12" spans="1:28" x14ac:dyDescent="0.25">
      <c r="A12" t="s">
        <v>110</v>
      </c>
      <c r="B12" t="s">
        <v>111</v>
      </c>
      <c r="C12" t="s">
        <v>135</v>
      </c>
      <c r="D12" t="s">
        <v>252</v>
      </c>
      <c r="E12" t="s">
        <v>344</v>
      </c>
      <c r="F12" t="s">
        <v>805</v>
      </c>
      <c r="G12" t="s">
        <v>86</v>
      </c>
      <c r="H12" t="s">
        <v>806</v>
      </c>
      <c r="I12" t="s">
        <v>807</v>
      </c>
      <c r="J12" t="s">
        <v>808</v>
      </c>
      <c r="K12" t="s">
        <v>282</v>
      </c>
      <c r="L12" t="s">
        <v>805</v>
      </c>
      <c r="M12" t="s">
        <v>99</v>
      </c>
      <c r="N12" t="s">
        <v>56</v>
      </c>
      <c r="O12" t="s">
        <v>479</v>
      </c>
      <c r="P12" t="s">
        <v>56</v>
      </c>
      <c r="Q12" t="s">
        <v>479</v>
      </c>
      <c r="R12" t="s">
        <v>809</v>
      </c>
      <c r="S12" t="s">
        <v>810</v>
      </c>
      <c r="T12" t="s">
        <v>811</v>
      </c>
      <c r="U12" t="s">
        <v>268</v>
      </c>
      <c r="V12" t="s">
        <v>420</v>
      </c>
      <c r="W12" t="s">
        <v>114</v>
      </c>
      <c r="X12" t="s">
        <v>129</v>
      </c>
      <c r="Y12" t="s">
        <v>145</v>
      </c>
      <c r="Z12" t="s">
        <v>812</v>
      </c>
      <c r="AA12" t="s">
        <v>218</v>
      </c>
      <c r="AB12" t="s">
        <v>49</v>
      </c>
    </row>
    <row r="13" spans="1:28" x14ac:dyDescent="0.25">
      <c r="A13" t="s">
        <v>75</v>
      </c>
      <c r="B13" t="s">
        <v>76</v>
      </c>
      <c r="C13" t="s">
        <v>77</v>
      </c>
      <c r="D13" t="s">
        <v>57</v>
      </c>
      <c r="E13" t="s">
        <v>345</v>
      </c>
      <c r="F13" t="s">
        <v>813</v>
      </c>
      <c r="G13" t="s">
        <v>496</v>
      </c>
      <c r="H13" t="s">
        <v>509</v>
      </c>
      <c r="I13" t="s">
        <v>814</v>
      </c>
      <c r="J13" t="s">
        <v>815</v>
      </c>
      <c r="K13" t="s">
        <v>428</v>
      </c>
      <c r="L13" t="s">
        <v>813</v>
      </c>
      <c r="M13" t="s">
        <v>486</v>
      </c>
      <c r="N13" t="s">
        <v>339</v>
      </c>
      <c r="O13" t="s">
        <v>816</v>
      </c>
      <c r="P13" t="s">
        <v>129</v>
      </c>
      <c r="Q13" t="s">
        <v>533</v>
      </c>
      <c r="R13" t="s">
        <v>817</v>
      </c>
      <c r="S13" t="s">
        <v>818</v>
      </c>
      <c r="T13" t="s">
        <v>819</v>
      </c>
      <c r="U13" t="s">
        <v>347</v>
      </c>
      <c r="V13" t="s">
        <v>470</v>
      </c>
      <c r="W13" t="s">
        <v>65</v>
      </c>
      <c r="X13" t="s">
        <v>78</v>
      </c>
      <c r="Y13" t="s">
        <v>129</v>
      </c>
      <c r="Z13" t="s">
        <v>820</v>
      </c>
      <c r="AA13" t="s">
        <v>348</v>
      </c>
      <c r="AB13" t="s">
        <v>49</v>
      </c>
    </row>
    <row r="14" spans="1:28" x14ac:dyDescent="0.25">
      <c r="A14" t="s">
        <v>221</v>
      </c>
      <c r="B14" t="s">
        <v>222</v>
      </c>
      <c r="C14" t="s">
        <v>77</v>
      </c>
      <c r="D14" t="s">
        <v>252</v>
      </c>
      <c r="E14" t="s">
        <v>349</v>
      </c>
      <c r="F14" t="s">
        <v>821</v>
      </c>
      <c r="G14" t="s">
        <v>536</v>
      </c>
      <c r="H14" t="s">
        <v>822</v>
      </c>
      <c r="I14" t="s">
        <v>823</v>
      </c>
      <c r="J14" t="s">
        <v>824</v>
      </c>
      <c r="K14" t="s">
        <v>118</v>
      </c>
      <c r="L14" t="s">
        <v>821</v>
      </c>
      <c r="M14" t="s">
        <v>197</v>
      </c>
      <c r="N14" t="s">
        <v>81</v>
      </c>
      <c r="O14" t="s">
        <v>479</v>
      </c>
      <c r="P14" t="s">
        <v>114</v>
      </c>
      <c r="Q14" t="s">
        <v>545</v>
      </c>
      <c r="R14" t="s">
        <v>825</v>
      </c>
      <c r="S14" t="s">
        <v>483</v>
      </c>
      <c r="T14" t="s">
        <v>826</v>
      </c>
      <c r="U14" t="s">
        <v>53</v>
      </c>
      <c r="V14" t="s">
        <v>128</v>
      </c>
      <c r="W14" t="s">
        <v>59</v>
      </c>
      <c r="X14" t="s">
        <v>188</v>
      </c>
      <c r="Y14" t="s">
        <v>56</v>
      </c>
      <c r="Z14" t="s">
        <v>827</v>
      </c>
      <c r="AA14" t="s">
        <v>58</v>
      </c>
      <c r="AB14" t="s">
        <v>49</v>
      </c>
    </row>
    <row r="15" spans="1:28" x14ac:dyDescent="0.25">
      <c r="A15" t="s">
        <v>213</v>
      </c>
      <c r="B15" t="s">
        <v>184</v>
      </c>
      <c r="C15" t="s">
        <v>170</v>
      </c>
      <c r="D15" t="s">
        <v>57</v>
      </c>
      <c r="E15" t="s">
        <v>351</v>
      </c>
      <c r="F15" t="s">
        <v>828</v>
      </c>
      <c r="G15" t="s">
        <v>81</v>
      </c>
      <c r="H15" t="s">
        <v>298</v>
      </c>
      <c r="I15" t="s">
        <v>489</v>
      </c>
      <c r="J15" t="s">
        <v>624</v>
      </c>
      <c r="K15" t="s">
        <v>829</v>
      </c>
      <c r="L15" t="s">
        <v>828</v>
      </c>
      <c r="M15" t="s">
        <v>551</v>
      </c>
      <c r="N15" t="s">
        <v>166</v>
      </c>
      <c r="O15" t="s">
        <v>830</v>
      </c>
      <c r="P15" t="s">
        <v>209</v>
      </c>
      <c r="Q15" t="s">
        <v>831</v>
      </c>
      <c r="R15" t="s">
        <v>832</v>
      </c>
      <c r="S15" t="s">
        <v>833</v>
      </c>
      <c r="T15" t="s">
        <v>834</v>
      </c>
      <c r="U15" t="s">
        <v>353</v>
      </c>
      <c r="V15" t="s">
        <v>283</v>
      </c>
      <c r="W15" t="s">
        <v>219</v>
      </c>
      <c r="X15" t="s">
        <v>175</v>
      </c>
      <c r="Y15" t="s">
        <v>148</v>
      </c>
      <c r="Z15" t="s">
        <v>835</v>
      </c>
      <c r="AA15" t="s">
        <v>354</v>
      </c>
      <c r="AB15" t="s">
        <v>49</v>
      </c>
    </row>
    <row r="16" spans="1:28" x14ac:dyDescent="0.25">
      <c r="A16" t="s">
        <v>122</v>
      </c>
      <c r="B16" t="s">
        <v>76</v>
      </c>
      <c r="C16" t="s">
        <v>123</v>
      </c>
      <c r="D16" t="s">
        <v>311</v>
      </c>
      <c r="E16" t="s">
        <v>124</v>
      </c>
      <c r="F16" t="s">
        <v>836</v>
      </c>
      <c r="G16" t="s">
        <v>302</v>
      </c>
      <c r="H16" t="s">
        <v>829</v>
      </c>
      <c r="I16" t="s">
        <v>690</v>
      </c>
      <c r="J16" t="s">
        <v>837</v>
      </c>
      <c r="K16" t="s">
        <v>64</v>
      </c>
      <c r="L16" t="s">
        <v>836</v>
      </c>
      <c r="M16" t="s">
        <v>139</v>
      </c>
      <c r="N16" t="s">
        <v>112</v>
      </c>
      <c r="O16" t="s">
        <v>505</v>
      </c>
      <c r="P16" t="s">
        <v>144</v>
      </c>
      <c r="Q16" t="s">
        <v>749</v>
      </c>
      <c r="R16" t="s">
        <v>443</v>
      </c>
      <c r="S16" t="s">
        <v>838</v>
      </c>
      <c r="T16" t="s">
        <v>839</v>
      </c>
      <c r="U16" t="s">
        <v>148</v>
      </c>
      <c r="V16" t="s">
        <v>420</v>
      </c>
      <c r="W16" t="s">
        <v>59</v>
      </c>
      <c r="X16" t="s">
        <v>64</v>
      </c>
      <c r="Y16" t="s">
        <v>53</v>
      </c>
      <c r="Z16" t="s">
        <v>840</v>
      </c>
      <c r="AA16" t="s">
        <v>118</v>
      </c>
      <c r="AB16" t="s">
        <v>49</v>
      </c>
    </row>
    <row r="17" spans="1:28" x14ac:dyDescent="0.25">
      <c r="A17" t="s">
        <v>183</v>
      </c>
      <c r="B17" t="s">
        <v>184</v>
      </c>
      <c r="C17" t="s">
        <v>123</v>
      </c>
      <c r="D17" t="s">
        <v>139</v>
      </c>
      <c r="E17" t="s">
        <v>358</v>
      </c>
      <c r="F17" t="s">
        <v>772</v>
      </c>
      <c r="G17" t="s">
        <v>56</v>
      </c>
      <c r="H17" t="s">
        <v>191</v>
      </c>
      <c r="I17" t="s">
        <v>463</v>
      </c>
      <c r="J17" t="s">
        <v>450</v>
      </c>
      <c r="K17" t="s">
        <v>841</v>
      </c>
      <c r="L17" t="s">
        <v>772</v>
      </c>
      <c r="M17" t="s">
        <v>302</v>
      </c>
      <c r="N17" t="s">
        <v>197</v>
      </c>
      <c r="O17" t="s">
        <v>693</v>
      </c>
      <c r="P17" t="s">
        <v>57</v>
      </c>
      <c r="Q17" t="s">
        <v>454</v>
      </c>
      <c r="R17" t="s">
        <v>842</v>
      </c>
      <c r="S17" t="s">
        <v>843</v>
      </c>
      <c r="T17" t="s">
        <v>844</v>
      </c>
      <c r="U17" t="s">
        <v>266</v>
      </c>
      <c r="V17" t="s">
        <v>413</v>
      </c>
      <c r="W17" t="s">
        <v>208</v>
      </c>
      <c r="X17" t="s">
        <v>180</v>
      </c>
      <c r="Y17" t="s">
        <v>112</v>
      </c>
      <c r="Z17" t="s">
        <v>845</v>
      </c>
      <c r="AA17" t="s">
        <v>359</v>
      </c>
      <c r="AB17" t="s">
        <v>49</v>
      </c>
    </row>
    <row r="18" spans="1:28" x14ac:dyDescent="0.25">
      <c r="A18" t="s">
        <v>235</v>
      </c>
      <c r="B18" t="s">
        <v>134</v>
      </c>
      <c r="C18" t="s">
        <v>135</v>
      </c>
      <c r="D18" t="s">
        <v>311</v>
      </c>
      <c r="E18" t="s">
        <v>361</v>
      </c>
      <c r="F18" t="s">
        <v>846</v>
      </c>
      <c r="G18" t="s">
        <v>285</v>
      </c>
      <c r="H18" t="s">
        <v>491</v>
      </c>
      <c r="I18" t="s">
        <v>525</v>
      </c>
      <c r="J18" t="s">
        <v>847</v>
      </c>
      <c r="K18" t="s">
        <v>197</v>
      </c>
      <c r="L18" t="s">
        <v>846</v>
      </c>
      <c r="M18" t="s">
        <v>100</v>
      </c>
      <c r="N18" t="s">
        <v>59</v>
      </c>
      <c r="O18" t="s">
        <v>534</v>
      </c>
      <c r="P18" t="s">
        <v>99</v>
      </c>
      <c r="Q18" t="s">
        <v>415</v>
      </c>
      <c r="R18" t="s">
        <v>848</v>
      </c>
      <c r="S18" t="s">
        <v>849</v>
      </c>
      <c r="T18" t="s">
        <v>850</v>
      </c>
      <c r="U18" t="s">
        <v>64</v>
      </c>
      <c r="V18" t="s">
        <v>53</v>
      </c>
      <c r="W18" t="s">
        <v>59</v>
      </c>
      <c r="X18" t="s">
        <v>81</v>
      </c>
      <c r="Y18" t="s">
        <v>100</v>
      </c>
      <c r="Z18" t="s">
        <v>851</v>
      </c>
      <c r="AA18" t="s">
        <v>53</v>
      </c>
      <c r="AB18" t="s">
        <v>49</v>
      </c>
    </row>
    <row r="19" spans="1:28" x14ac:dyDescent="0.25">
      <c r="A19" t="s">
        <v>226</v>
      </c>
      <c r="B19" t="s">
        <v>134</v>
      </c>
      <c r="C19" t="s">
        <v>170</v>
      </c>
      <c r="D19" t="s">
        <v>282</v>
      </c>
      <c r="E19" t="s">
        <v>187</v>
      </c>
      <c r="F19" t="s">
        <v>852</v>
      </c>
      <c r="G19" t="s">
        <v>144</v>
      </c>
      <c r="H19" t="s">
        <v>247</v>
      </c>
      <c r="I19" t="s">
        <v>460</v>
      </c>
      <c r="J19" t="s">
        <v>518</v>
      </c>
      <c r="K19" t="s">
        <v>267</v>
      </c>
      <c r="L19" t="s">
        <v>852</v>
      </c>
      <c r="M19" t="s">
        <v>474</v>
      </c>
      <c r="N19" t="s">
        <v>58</v>
      </c>
      <c r="O19" t="s">
        <v>556</v>
      </c>
      <c r="P19" t="s">
        <v>186</v>
      </c>
      <c r="Q19" t="s">
        <v>853</v>
      </c>
      <c r="R19" t="s">
        <v>854</v>
      </c>
      <c r="S19" t="s">
        <v>855</v>
      </c>
      <c r="T19" t="s">
        <v>856</v>
      </c>
      <c r="U19" t="s">
        <v>166</v>
      </c>
      <c r="V19" t="s">
        <v>268</v>
      </c>
      <c r="W19" t="s">
        <v>362</v>
      </c>
      <c r="X19" t="s">
        <v>55</v>
      </c>
      <c r="Y19" t="s">
        <v>79</v>
      </c>
      <c r="Z19" t="s">
        <v>857</v>
      </c>
      <c r="AA19" t="s">
        <v>363</v>
      </c>
      <c r="AB19" t="s">
        <v>49</v>
      </c>
    </row>
    <row r="20" spans="1:28" x14ac:dyDescent="0.25">
      <c r="A20" t="s">
        <v>133</v>
      </c>
      <c r="B20" t="s">
        <v>134</v>
      </c>
      <c r="C20" t="s">
        <v>135</v>
      </c>
      <c r="D20" t="s">
        <v>58</v>
      </c>
      <c r="E20" t="s">
        <v>212</v>
      </c>
      <c r="F20" t="s">
        <v>478</v>
      </c>
      <c r="G20" t="s">
        <v>188</v>
      </c>
      <c r="H20" t="s">
        <v>546</v>
      </c>
      <c r="I20" t="s">
        <v>569</v>
      </c>
      <c r="J20" t="s">
        <v>507</v>
      </c>
      <c r="K20" t="s">
        <v>324</v>
      </c>
      <c r="L20" t="s">
        <v>478</v>
      </c>
      <c r="M20" t="s">
        <v>145</v>
      </c>
      <c r="N20" t="s">
        <v>99</v>
      </c>
      <c r="O20" t="s">
        <v>539</v>
      </c>
      <c r="P20" t="s">
        <v>99</v>
      </c>
      <c r="Q20" t="s">
        <v>539</v>
      </c>
      <c r="R20" t="s">
        <v>858</v>
      </c>
      <c r="S20" t="s">
        <v>859</v>
      </c>
      <c r="T20" t="s">
        <v>860</v>
      </c>
      <c r="U20" t="s">
        <v>57</v>
      </c>
      <c r="V20" t="s">
        <v>112</v>
      </c>
      <c r="W20" t="s">
        <v>81</v>
      </c>
      <c r="X20" t="s">
        <v>56</v>
      </c>
      <c r="Y20" t="s">
        <v>208</v>
      </c>
      <c r="Z20" t="s">
        <v>861</v>
      </c>
      <c r="AA20" t="s">
        <v>268</v>
      </c>
      <c r="AB20" t="s">
        <v>49</v>
      </c>
    </row>
    <row r="21" spans="1:28" x14ac:dyDescent="0.25">
      <c r="A21" t="s">
        <v>196</v>
      </c>
      <c r="B21" t="s">
        <v>96</v>
      </c>
      <c r="C21" t="s">
        <v>123</v>
      </c>
      <c r="D21" t="s">
        <v>53</v>
      </c>
      <c r="E21" t="s">
        <v>366</v>
      </c>
      <c r="F21" t="s">
        <v>862</v>
      </c>
      <c r="G21" t="s">
        <v>180</v>
      </c>
      <c r="H21" t="s">
        <v>167</v>
      </c>
      <c r="I21" t="s">
        <v>863</v>
      </c>
      <c r="J21" t="s">
        <v>550</v>
      </c>
      <c r="K21" t="s">
        <v>218</v>
      </c>
      <c r="L21" t="s">
        <v>862</v>
      </c>
      <c r="M21" t="s">
        <v>78</v>
      </c>
      <c r="N21" t="s">
        <v>145</v>
      </c>
      <c r="O21" t="s">
        <v>864</v>
      </c>
      <c r="P21" t="s">
        <v>180</v>
      </c>
      <c r="Q21" t="s">
        <v>652</v>
      </c>
      <c r="R21" t="s">
        <v>865</v>
      </c>
      <c r="S21" t="s">
        <v>866</v>
      </c>
      <c r="T21" t="s">
        <v>860</v>
      </c>
      <c r="U21" t="s">
        <v>252</v>
      </c>
      <c r="V21" t="s">
        <v>79</v>
      </c>
      <c r="W21" t="s">
        <v>197</v>
      </c>
      <c r="X21" t="s">
        <v>55</v>
      </c>
      <c r="Y21" t="s">
        <v>208</v>
      </c>
      <c r="Z21" t="s">
        <v>704</v>
      </c>
      <c r="AA21" t="s">
        <v>367</v>
      </c>
      <c r="AB21" t="s">
        <v>49</v>
      </c>
    </row>
    <row r="22" spans="1:28" x14ac:dyDescent="0.25">
      <c r="A22" t="s">
        <v>211</v>
      </c>
      <c r="B22" t="s">
        <v>162</v>
      </c>
      <c r="C22" t="s">
        <v>156</v>
      </c>
      <c r="D22" t="s">
        <v>324</v>
      </c>
      <c r="E22" t="s">
        <v>352</v>
      </c>
      <c r="F22" t="s">
        <v>560</v>
      </c>
      <c r="G22" t="s">
        <v>520</v>
      </c>
      <c r="H22" t="s">
        <v>867</v>
      </c>
      <c r="I22" t="s">
        <v>114</v>
      </c>
      <c r="J22" t="s">
        <v>60</v>
      </c>
      <c r="K22" t="s">
        <v>60</v>
      </c>
      <c r="L22" t="s">
        <v>560</v>
      </c>
      <c r="M22" t="s">
        <v>60</v>
      </c>
      <c r="N22" t="s">
        <v>60</v>
      </c>
      <c r="O22" t="s">
        <v>30</v>
      </c>
      <c r="P22" t="s">
        <v>60</v>
      </c>
      <c r="Q22" t="s">
        <v>30</v>
      </c>
      <c r="R22" t="s">
        <v>554</v>
      </c>
      <c r="S22" t="s">
        <v>562</v>
      </c>
      <c r="T22" t="s">
        <v>868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412</v>
      </c>
      <c r="AA22" t="s">
        <v>60</v>
      </c>
      <c r="AB22" t="s">
        <v>49</v>
      </c>
    </row>
    <row r="23" spans="1:28" x14ac:dyDescent="0.25">
      <c r="A23" t="s">
        <v>368</v>
      </c>
      <c r="B23" t="s">
        <v>51</v>
      </c>
      <c r="C23" t="s">
        <v>170</v>
      </c>
      <c r="D23" t="s">
        <v>112</v>
      </c>
      <c r="E23" t="s">
        <v>126</v>
      </c>
      <c r="F23" t="s">
        <v>869</v>
      </c>
      <c r="G23" t="s">
        <v>99</v>
      </c>
      <c r="H23" t="s">
        <v>180</v>
      </c>
      <c r="I23" t="s">
        <v>218</v>
      </c>
      <c r="J23" t="s">
        <v>343</v>
      </c>
      <c r="K23" t="s">
        <v>282</v>
      </c>
      <c r="L23" t="s">
        <v>869</v>
      </c>
      <c r="M23" t="s">
        <v>58</v>
      </c>
      <c r="N23" t="s">
        <v>186</v>
      </c>
      <c r="O23" t="s">
        <v>870</v>
      </c>
      <c r="P23" t="s">
        <v>100</v>
      </c>
      <c r="Q23" t="s">
        <v>476</v>
      </c>
      <c r="R23" t="s">
        <v>418</v>
      </c>
      <c r="S23" t="s">
        <v>425</v>
      </c>
      <c r="T23" t="s">
        <v>837</v>
      </c>
      <c r="U23" t="s">
        <v>180</v>
      </c>
      <c r="V23" t="s">
        <v>81</v>
      </c>
      <c r="W23" t="s">
        <v>81</v>
      </c>
      <c r="X23" t="s">
        <v>100</v>
      </c>
      <c r="Y23" t="s">
        <v>100</v>
      </c>
      <c r="Z23" t="s">
        <v>516</v>
      </c>
      <c r="AA23" t="s">
        <v>118</v>
      </c>
      <c r="AB23" t="s">
        <v>49</v>
      </c>
    </row>
    <row r="24" spans="1:28" x14ac:dyDescent="0.25">
      <c r="A24" t="s">
        <v>370</v>
      </c>
      <c r="B24" t="s">
        <v>134</v>
      </c>
      <c r="C24" t="s">
        <v>123</v>
      </c>
      <c r="D24" t="s">
        <v>282</v>
      </c>
      <c r="E24" t="s">
        <v>249</v>
      </c>
      <c r="F24" t="s">
        <v>166</v>
      </c>
      <c r="G24" t="s">
        <v>114</v>
      </c>
      <c r="H24" t="s">
        <v>129</v>
      </c>
      <c r="I24" t="s">
        <v>175</v>
      </c>
      <c r="J24" t="s">
        <v>78</v>
      </c>
      <c r="K24" t="s">
        <v>59</v>
      </c>
      <c r="L24" t="s">
        <v>166</v>
      </c>
      <c r="M24" t="s">
        <v>114</v>
      </c>
      <c r="N24" t="s">
        <v>59</v>
      </c>
      <c r="O24" t="s">
        <v>476</v>
      </c>
      <c r="P24" t="s">
        <v>56</v>
      </c>
      <c r="Q24" t="s">
        <v>415</v>
      </c>
      <c r="R24" t="s">
        <v>420</v>
      </c>
      <c r="S24" t="s">
        <v>512</v>
      </c>
      <c r="T24" t="s">
        <v>458</v>
      </c>
      <c r="U24" t="s">
        <v>144</v>
      </c>
      <c r="V24" t="s">
        <v>81</v>
      </c>
      <c r="W24" t="s">
        <v>59</v>
      </c>
      <c r="X24" t="s">
        <v>99</v>
      </c>
      <c r="Y24" t="s">
        <v>56</v>
      </c>
      <c r="Z24" t="s">
        <v>141</v>
      </c>
      <c r="AA24" t="s">
        <v>114</v>
      </c>
      <c r="AB24" t="s">
        <v>49</v>
      </c>
    </row>
    <row r="25" spans="1:28" x14ac:dyDescent="0.25">
      <c r="A25" t="s">
        <v>371</v>
      </c>
      <c r="B25" t="s">
        <v>243</v>
      </c>
      <c r="C25" t="s">
        <v>170</v>
      </c>
      <c r="D25" t="s">
        <v>79</v>
      </c>
      <c r="E25" t="s">
        <v>207</v>
      </c>
      <c r="F25" t="s">
        <v>167</v>
      </c>
      <c r="G25" t="s">
        <v>60</v>
      </c>
      <c r="H25" t="s">
        <v>197</v>
      </c>
      <c r="I25" t="s">
        <v>55</v>
      </c>
      <c r="J25" t="s">
        <v>324</v>
      </c>
      <c r="K25" t="s">
        <v>114</v>
      </c>
      <c r="L25" t="s">
        <v>167</v>
      </c>
      <c r="M25" t="s">
        <v>56</v>
      </c>
      <c r="N25" t="s">
        <v>56</v>
      </c>
      <c r="O25" t="s">
        <v>435</v>
      </c>
      <c r="P25" t="s">
        <v>60</v>
      </c>
      <c r="Q25" t="s">
        <v>158</v>
      </c>
      <c r="R25" t="s">
        <v>118</v>
      </c>
      <c r="S25" t="s">
        <v>798</v>
      </c>
      <c r="T25" t="s">
        <v>436</v>
      </c>
      <c r="U25" t="s">
        <v>99</v>
      </c>
      <c r="V25" t="s">
        <v>60</v>
      </c>
      <c r="W25" t="s">
        <v>59</v>
      </c>
      <c r="X25" t="s">
        <v>60</v>
      </c>
      <c r="Y25" t="s">
        <v>60</v>
      </c>
      <c r="Z25" t="s">
        <v>475</v>
      </c>
      <c r="AA25" t="s">
        <v>99</v>
      </c>
      <c r="AB25" t="s">
        <v>49</v>
      </c>
    </row>
    <row r="26" spans="1:28" x14ac:dyDescent="0.25">
      <c r="A26" t="s">
        <v>373</v>
      </c>
      <c r="B26" t="s">
        <v>243</v>
      </c>
      <c r="C26" t="s">
        <v>77</v>
      </c>
      <c r="D26" t="s">
        <v>311</v>
      </c>
      <c r="E26" t="s">
        <v>206</v>
      </c>
      <c r="F26" t="s">
        <v>129</v>
      </c>
      <c r="G26" t="s">
        <v>56</v>
      </c>
      <c r="H26" t="s">
        <v>144</v>
      </c>
      <c r="I26" t="s">
        <v>100</v>
      </c>
      <c r="J26" t="s">
        <v>59</v>
      </c>
      <c r="K26" t="s">
        <v>59</v>
      </c>
      <c r="L26" t="s">
        <v>129</v>
      </c>
      <c r="M26" t="s">
        <v>60</v>
      </c>
      <c r="N26" t="s">
        <v>60</v>
      </c>
      <c r="O26" t="s">
        <v>30</v>
      </c>
      <c r="P26" t="s">
        <v>60</v>
      </c>
      <c r="Q26" t="s">
        <v>30</v>
      </c>
      <c r="R26" t="s">
        <v>197</v>
      </c>
      <c r="S26" t="s">
        <v>78</v>
      </c>
      <c r="T26" t="s">
        <v>59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197</v>
      </c>
      <c r="AA26" t="s">
        <v>60</v>
      </c>
      <c r="AB26" t="s">
        <v>49</v>
      </c>
    </row>
    <row r="27" spans="1:28" x14ac:dyDescent="0.25">
      <c r="A27" t="s">
        <v>374</v>
      </c>
      <c r="B27" t="s">
        <v>134</v>
      </c>
      <c r="C27" t="s">
        <v>123</v>
      </c>
      <c r="D27" t="s">
        <v>57</v>
      </c>
      <c r="E27" t="s">
        <v>206</v>
      </c>
      <c r="F27" t="s">
        <v>100</v>
      </c>
      <c r="G27" t="s">
        <v>60</v>
      </c>
      <c r="H27" t="s">
        <v>60</v>
      </c>
      <c r="I27" t="s">
        <v>99</v>
      </c>
      <c r="J27" t="s">
        <v>56</v>
      </c>
      <c r="K27" t="s">
        <v>60</v>
      </c>
      <c r="L27" t="s">
        <v>100</v>
      </c>
      <c r="M27" t="s">
        <v>60</v>
      </c>
      <c r="N27" t="s">
        <v>60</v>
      </c>
      <c r="O27" t="s">
        <v>30</v>
      </c>
      <c r="P27" t="s">
        <v>60</v>
      </c>
      <c r="Q27" t="s">
        <v>30</v>
      </c>
      <c r="R27" t="s">
        <v>100</v>
      </c>
      <c r="S27" t="s">
        <v>191</v>
      </c>
      <c r="T27" t="s">
        <v>99</v>
      </c>
      <c r="U27" t="s">
        <v>60</v>
      </c>
      <c r="V27" t="s">
        <v>60</v>
      </c>
      <c r="W27" t="s">
        <v>60</v>
      </c>
      <c r="X27" t="s">
        <v>59</v>
      </c>
      <c r="Y27" t="s">
        <v>60</v>
      </c>
      <c r="Z27" t="s">
        <v>100</v>
      </c>
      <c r="AA27" t="s">
        <v>60</v>
      </c>
      <c r="AB27" t="s">
        <v>49</v>
      </c>
    </row>
    <row r="28" spans="1:28" x14ac:dyDescent="0.25">
      <c r="A28" t="s">
        <v>248</v>
      </c>
      <c r="B28" t="s">
        <v>134</v>
      </c>
      <c r="C28" t="s">
        <v>123</v>
      </c>
      <c r="D28" t="s">
        <v>112</v>
      </c>
      <c r="E28" t="s">
        <v>158</v>
      </c>
      <c r="F28" t="s">
        <v>59</v>
      </c>
      <c r="G28" t="s">
        <v>60</v>
      </c>
      <c r="H28" t="s">
        <v>60</v>
      </c>
      <c r="I28" t="s">
        <v>60</v>
      </c>
      <c r="J28" t="s">
        <v>59</v>
      </c>
      <c r="K28" t="s">
        <v>60</v>
      </c>
      <c r="L28" t="s">
        <v>59</v>
      </c>
      <c r="M28" t="s">
        <v>60</v>
      </c>
      <c r="N28" t="s">
        <v>60</v>
      </c>
      <c r="O28" t="s">
        <v>30</v>
      </c>
      <c r="P28" t="s">
        <v>60</v>
      </c>
      <c r="Q28" t="s">
        <v>30</v>
      </c>
      <c r="R28" t="s">
        <v>60</v>
      </c>
      <c r="S28" t="s">
        <v>60</v>
      </c>
      <c r="T28" t="s">
        <v>60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A28" t="s">
        <v>60</v>
      </c>
      <c r="AB28" t="s">
        <v>49</v>
      </c>
    </row>
    <row r="29" spans="1:28" x14ac:dyDescent="0.25">
      <c r="A29" t="s">
        <v>261</v>
      </c>
      <c r="B29" t="s">
        <v>30</v>
      </c>
      <c r="C29" t="s">
        <v>30</v>
      </c>
      <c r="D29" t="s">
        <v>378</v>
      </c>
      <c r="E29" t="s">
        <v>380</v>
      </c>
      <c r="F29" t="s">
        <v>871</v>
      </c>
      <c r="G29" t="s">
        <v>872</v>
      </c>
      <c r="H29" t="s">
        <v>873</v>
      </c>
      <c r="I29" t="s">
        <v>874</v>
      </c>
      <c r="J29" t="s">
        <v>875</v>
      </c>
      <c r="K29" t="s">
        <v>876</v>
      </c>
      <c r="L29" t="s">
        <v>877</v>
      </c>
      <c r="M29" t="s">
        <v>657</v>
      </c>
      <c r="N29" t="s">
        <v>289</v>
      </c>
      <c r="O29" t="s">
        <v>878</v>
      </c>
      <c r="P29" t="s">
        <v>560</v>
      </c>
      <c r="Q29" t="s">
        <v>538</v>
      </c>
      <c r="R29" t="s">
        <v>879</v>
      </c>
      <c r="S29" t="s">
        <v>880</v>
      </c>
      <c r="T29" t="s">
        <v>881</v>
      </c>
      <c r="U29" t="s">
        <v>385</v>
      </c>
      <c r="V29" t="s">
        <v>882</v>
      </c>
      <c r="W29" t="s">
        <v>883</v>
      </c>
      <c r="X29" t="s">
        <v>884</v>
      </c>
      <c r="Y29" t="s">
        <v>689</v>
      </c>
      <c r="Z29" t="s">
        <v>885</v>
      </c>
      <c r="AA29" t="s">
        <v>386</v>
      </c>
      <c r="AB29" t="s">
        <v>30</v>
      </c>
    </row>
    <row r="30" spans="1:28" x14ac:dyDescent="0.25">
      <c r="A30" t="s">
        <v>280</v>
      </c>
      <c r="B30" t="s">
        <v>30</v>
      </c>
      <c r="C30" t="s">
        <v>30</v>
      </c>
      <c r="D30" t="s">
        <v>393</v>
      </c>
      <c r="E30" t="s">
        <v>380</v>
      </c>
      <c r="F30" t="s">
        <v>886</v>
      </c>
      <c r="G30" t="s">
        <v>887</v>
      </c>
      <c r="H30" t="s">
        <v>888</v>
      </c>
      <c r="I30" t="s">
        <v>889</v>
      </c>
      <c r="J30" t="s">
        <v>890</v>
      </c>
      <c r="K30" t="s">
        <v>891</v>
      </c>
      <c r="L30" t="s">
        <v>892</v>
      </c>
      <c r="M30" t="s">
        <v>513</v>
      </c>
      <c r="N30" t="s">
        <v>558</v>
      </c>
      <c r="O30" t="s">
        <v>893</v>
      </c>
      <c r="P30" t="s">
        <v>552</v>
      </c>
      <c r="Q30" t="s">
        <v>894</v>
      </c>
      <c r="R30" t="s">
        <v>895</v>
      </c>
      <c r="S30" t="s">
        <v>896</v>
      </c>
      <c r="T30" t="s">
        <v>897</v>
      </c>
      <c r="U30" t="s">
        <v>396</v>
      </c>
      <c r="V30" t="s">
        <v>898</v>
      </c>
      <c r="W30" t="s">
        <v>363</v>
      </c>
      <c r="X30" t="s">
        <v>899</v>
      </c>
      <c r="Y30" t="s">
        <v>354</v>
      </c>
      <c r="Z30" t="s">
        <v>900</v>
      </c>
      <c r="AA30" t="s">
        <v>397</v>
      </c>
      <c r="AB30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30FB4-9223-407A-9FAC-410732BED6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24-25 City standart stats</vt:lpstr>
      <vt:lpstr>23-24 City standart stats</vt:lpstr>
      <vt:lpstr>Standart stats Pivot 24-25 </vt:lpstr>
      <vt:lpstr>Standart stats Pivot 23-24</vt:lpstr>
      <vt:lpstr>COMPARE</vt:lpstr>
      <vt:lpstr>Compare Chart</vt:lpstr>
      <vt:lpstr>Passes Pivot 24-25</vt:lpstr>
      <vt:lpstr>Passes Pivot 23-24</vt:lpstr>
      <vt:lpstr>24-25 Passes</vt:lpstr>
      <vt:lpstr>23-24 Passes</vt:lpstr>
      <vt:lpstr>Shoots Pivot 24-25</vt:lpstr>
      <vt:lpstr>24-25 Shooting</vt:lpstr>
      <vt:lpstr>Shoots Pivot 23-24</vt:lpstr>
      <vt:lpstr>23-24 Shooting</vt:lpstr>
      <vt:lpstr>Defence Pivot 24-25</vt:lpstr>
      <vt:lpstr>24-25 Defence</vt:lpstr>
      <vt:lpstr>Defence Pivot 23-24</vt:lpstr>
      <vt:lpstr>23-24 Defence</vt:lpstr>
      <vt:lpstr>Goalkeeping Pivot 24-25</vt:lpstr>
      <vt:lpstr>24-25 Goalkeeping</vt:lpstr>
      <vt:lpstr>Goalkeeping Pivot 23-24</vt:lpstr>
      <vt:lpstr>23-24 Goalkeeping</vt:lpstr>
      <vt:lpstr>24-25 Possession</vt:lpstr>
      <vt:lpstr>23-24 Possession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Ulvi Farajli</dc:creator>
  <cp:lastModifiedBy>Ulvi Farajli</cp:lastModifiedBy>
  <cp:lastPrinted>2025-02-17T20:08:48Z</cp:lastPrinted>
  <dcterms:created xsi:type="dcterms:W3CDTF">2025-02-06T10:10:42Z</dcterms:created>
  <dcterms:modified xsi:type="dcterms:W3CDTF">2025-03-25T21:11:44Z</dcterms:modified>
</cp:coreProperties>
</file>